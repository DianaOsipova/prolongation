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Data" sheetId="1" r:id="rId1"/>
    <sheet name="Dynamics department" sheetId="6" r:id="rId2"/>
    <sheet name="Heatmap" sheetId="7" r:id="rId3"/>
    <sheet name="Sum" sheetId="9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<sst xmlns="http://schemas.openxmlformats.org/spreadsheetml/2006/main" count="354" uniqueCount="39">
  <si>
    <t>Месяц пролонгации</t>
  </si>
  <si>
    <t>Менеджер</t>
  </si>
  <si>
    <t>K1 (первый месяц)</t>
  </si>
  <si>
    <t>K2 (второй месяц)</t>
  </si>
  <si>
    <t>Код месяца</t>
  </si>
  <si>
    <t>январь 2023</t>
  </si>
  <si>
    <t>Васильев Артем Александрович</t>
  </si>
  <si>
    <t>Федорова Марина Васильевна</t>
  </si>
  <si>
    <t>Петрова Анна Дмитриевна</t>
  </si>
  <si>
    <t>без А/М</t>
  </si>
  <si>
    <t>Кузнецов Михаил Иванович</t>
  </si>
  <si>
    <t>Отдел в целом</t>
  </si>
  <si>
    <t>Иванова Мария Сергеевна</t>
  </si>
  <si>
    <t>Соколова Анастасия Викторовна</t>
  </si>
  <si>
    <t>Смирнова Ольга Владимировна</t>
  </si>
  <si>
    <t>Попова Екатерина Николаевна</t>
  </si>
  <si>
    <t>Михайлов Андрей Сергеевич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</si>
  <si>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</si>
  <si>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</si>
  <si>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</si>
  <si>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</si>
  <si>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</si>
  <si>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</si>
  <si>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</si>
  <si>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</si>
  <si>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</si>
  <si>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</si>
  <si>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</si>
  <si>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Среднее из K1 (первый месяц)</t>
  </si>
  <si>
    <t>Среднее из K2 (второй месяц)</t>
  </si>
  <si>
    <t>Общий итог</t>
  </si>
  <si>
    <t>Тепловая карта по K1</t>
  </si>
  <si>
    <t xml:space="preserve"> Средний показатель</t>
  </si>
  <si>
    <t>Сумма K1 (первый месяц)</t>
  </si>
  <si>
    <t xml:space="preserve"> </t>
  </si>
  <si>
    <t>Тепловая карта по K2</t>
  </si>
  <si>
    <t>К1(в первом месяце)</t>
  </si>
  <si>
    <t xml:space="preserve"> К2(во вторм месяце)</t>
  </si>
  <si>
    <t>Не пролонгировано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</si>
</sst>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0_ "/>
  </numFmts>
  <fonts count="23">
    <font>
      <sz val="11"/>
      <color theme="1"/>
      <name val="Calibri"/>
      <charset val="134"/>
      <scheme val="minor"/>
    </font>
    <font>
      <b/>
      <sz val="20"/>
      <color theme="1"/>
      <name val="Cambria"/>
      <charset val="134"/>
      <scheme val="major"/>
    </font>
    <font>
      <b/>
      <sz val="2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80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2" fillId="0" borderId="0" xfId="0" applyFont="1"/>
    <xf numFmtId="0" fontId="3" fillId="2" borderId="10" xfId="0" applyFont="1" applyFill="1" applyBorder="1"/>
    <xf numFmtId="0" fontId="0" fillId="0" borderId="0" xfId="0" applyProtection="1">
      <protection hidden="1"/>
    </xf>
    <xf numFmtId="0" fontId="0" fillId="0" borderId="0" xfId="0" applyProtection="1">
      <protection hidden="1"/>
    </xf>
    <xf numFmtId="0" fontId="0" fillId="0" borderId="0" xfId="0" applyFont="1" applyFill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6">
    <dxf>
      <protection hidden="1"/>
    </dxf>
    <dxf>
      <protection hidden="1"/>
    </dxf>
    <dxf>
      <protection hidden="1"/>
    </dxf>
    <dxf>
      <numFmt numFmtId="180" formatCode="0.00_ "/>
    </dxf>
    <dxf>
      <numFmt numFmtId="180" formatCode="0.00_ "/>
    </dxf>
    <dxf>
      <numFmt numFmtId="180" formatCode="0.00_ "/>
    </dxf>
  </dxfs>
  <tableStyles count="0" defaultTableStyle="TableStyleMedium9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[prolongation_report_2023.xlsx]Dynamics department!св_Коэффициенты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Коэффициенты пролонгации по отделу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'Dynamics department'!$E$3</c:f>
              <c:strCache>
                <c:ptCount val="1"/>
                <c:pt idx="0">
                  <c:v>Среднее из K1 (первый месяц)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'Dynamics department'!$C$4:$D$28</c:f>
              <c:multiLvlStrCache>
                <c:ptCount val="12"/>
                <c:lvl>
                  <c:pt idx="0">
                    <c:v>январь 2023</c:v>
                  </c:pt>
                  <c:pt idx="1">
                    <c:v>февраль 2023</c:v>
                  </c:pt>
                  <c:pt idx="2">
                    <c:v>март 2023</c:v>
                  </c:pt>
                  <c:pt idx="3">
                    <c:v>апрель 2023</c:v>
                  </c:pt>
                  <c:pt idx="4">
                    <c:v>май 2023</c:v>
                  </c:pt>
                  <c:pt idx="5">
                    <c:v>июнь 2023</c:v>
                  </c:pt>
                  <c:pt idx="6">
                    <c:v>июль 2023</c:v>
                  </c:pt>
                  <c:pt idx="7">
                    <c:v>август 2023</c:v>
                  </c:pt>
                  <c:pt idx="8">
                    <c:v>сентябрь 2023</c:v>
                  </c:pt>
                  <c:pt idx="9">
                    <c:v>октябрь 2023</c:v>
                  </c:pt>
                  <c:pt idx="10">
                    <c:v>ноябрь 2023</c:v>
                  </c:pt>
                  <c:pt idx="11">
                    <c:v>декабрь 2023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'Dynamics department'!$E$4:$E$28</c:f>
              <c:numCache>
                <c:formatCode>General</c:formatCode>
                <c:ptCount val="12"/>
                <c:pt idx="0">
                  <c:v>0.479084656257901</c:v>
                </c:pt>
                <c:pt idx="1">
                  <c:v>0.342664898801452</c:v>
                </c:pt>
                <c:pt idx="2">
                  <c:v>0.559379325544123</c:v>
                </c:pt>
                <c:pt idx="3">
                  <c:v>0.441716062274384</c:v>
                </c:pt>
                <c:pt idx="4">
                  <c:v>0.401550519677898</c:v>
                </c:pt>
                <c:pt idx="5">
                  <c:v>0.126075981207299</c:v>
                </c:pt>
                <c:pt idx="6">
                  <c:v>0.324031729489812</c:v>
                </c:pt>
                <c:pt idx="7">
                  <c:v>0.263116977247687</c:v>
                </c:pt>
                <c:pt idx="8">
                  <c:v>0.292969579674998</c:v>
                </c:pt>
                <c:pt idx="9">
                  <c:v>0.528298510612725</c:v>
                </c:pt>
                <c:pt idx="10">
                  <c:v>0.191771975156696</c:v>
                </c:pt>
                <c:pt idx="11">
                  <c:v>0.314688993625791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'Dynamics department'!$F$3</c:f>
              <c:strCache>
                <c:ptCount val="1"/>
                <c:pt idx="0">
                  <c:v>Среднее из K2 (второй месяц)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'Dynamics department'!$C$4:$D$28</c:f>
              <c:multiLvlStrCache>
                <c:ptCount val="12"/>
                <c:lvl>
                  <c:pt idx="0">
                    <c:v>январь 2023</c:v>
                  </c:pt>
                  <c:pt idx="1">
                    <c:v>февраль 2023</c:v>
                  </c:pt>
                  <c:pt idx="2">
                    <c:v>март 2023</c:v>
                  </c:pt>
                  <c:pt idx="3">
                    <c:v>апрель 2023</c:v>
                  </c:pt>
                  <c:pt idx="4">
                    <c:v>май 2023</c:v>
                  </c:pt>
                  <c:pt idx="5">
                    <c:v>июнь 2023</c:v>
                  </c:pt>
                  <c:pt idx="6">
                    <c:v>июль 2023</c:v>
                  </c:pt>
                  <c:pt idx="7">
                    <c:v>август 2023</c:v>
                  </c:pt>
                  <c:pt idx="8">
                    <c:v>сентябрь 2023</c:v>
                  </c:pt>
                  <c:pt idx="9">
                    <c:v>октябрь 2023</c:v>
                  </c:pt>
                  <c:pt idx="10">
                    <c:v>ноябрь 2023</c:v>
                  </c:pt>
                  <c:pt idx="11">
                    <c:v>декабрь 2023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</c:multiLvlStrCache>
            </c:multiLvlStrRef>
          </c:cat>
          <c:val>
            <c:numRef>
              <c:f>'Dynamics department'!$F$4:$F$28</c:f>
              <c:numCache>
                <c:formatCode>General</c:formatCode>
                <c:ptCount val="12"/>
                <c:pt idx="0">
                  <c:v>0.0774823492803048</c:v>
                </c:pt>
                <c:pt idx="1">
                  <c:v>0.0450414216522533</c:v>
                </c:pt>
                <c:pt idx="2">
                  <c:v>0.288178248041775</c:v>
                </c:pt>
                <c:pt idx="3">
                  <c:v>0.0906369088265026</c:v>
                </c:pt>
                <c:pt idx="4">
                  <c:v>0.00207148467528026</c:v>
                </c:pt>
                <c:pt idx="5">
                  <c:v>0.0237259556677395</c:v>
                </c:pt>
                <c:pt idx="6">
                  <c:v>0.111498013941005</c:v>
                </c:pt>
                <c:pt idx="7">
                  <c:v>0.169425290458391</c:v>
                </c:pt>
                <c:pt idx="8">
                  <c:v>0.00049849135123529</c:v>
                </c:pt>
                <c:pt idx="9">
                  <c:v>0.0660889698144732</c:v>
                </c:pt>
                <c:pt idx="10">
                  <c:v>0.0162122510609576</c:v>
                </c:pt>
                <c:pt idx="11">
                  <c:v>0.195635308104387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4475614"/>
        <c:axId val="149588226"/>
      </c:lineChart>
      <c:catAx>
        <c:axId val="11447561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588226"/>
        <c:crosses val="autoZero"/>
        <c:auto val="1"/>
        <c:lblAlgn val="ctr"/>
        <c:lblOffset val="100"/>
        <c:noMultiLvlLbl val="0"/>
      </c:catAx>
      <c:valAx>
        <c:axId val="1495882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47561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5803814713896"/>
          <c:y val="0.240617260430558"/>
          <c:w val="0.318038147138965"/>
          <c:h val="0.26157363307296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7e6df0d-d445-4012-b125-525aeabc8c9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Распределение пролонгаций за 2023 год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>
            <a:ln w="76200">
              <a:solidFill>
                <a:schemeClr val="bg1"/>
              </a:solidFill>
            </a:ln>
            <a:sp3d contourW="76200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 w="76200">
                <a:solidFill>
                  <a:schemeClr val="bg1"/>
                </a:solidFill>
              </a:ln>
              <a:effectLst/>
              <a:sp3d contourW="76200"/>
            </c:spPr>
          </c:dPt>
          <c:dPt>
            <c:idx val="1"/>
            <c:bubble3D val="0"/>
            <c:spPr>
              <a:solidFill>
                <a:schemeClr val="accent2"/>
              </a:solidFill>
              <a:ln w="76200">
                <a:solidFill>
                  <a:schemeClr val="bg1"/>
                </a:solidFill>
              </a:ln>
              <a:effectLst/>
              <a:sp3d contourW="76200"/>
            </c:spPr>
          </c:dPt>
          <c:dPt>
            <c:idx val="2"/>
            <c:bubble3D val="0"/>
            <c:spPr>
              <a:solidFill>
                <a:schemeClr val="accent3"/>
              </a:solidFill>
              <a:ln w="76200">
                <a:solidFill>
                  <a:schemeClr val="bg1"/>
                </a:solidFill>
              </a:ln>
              <a:effectLst/>
              <a:sp3d contourW="76200"/>
            </c:spPr>
          </c:dPt>
          <c:dLbls>
            <c:dLbl>
              <c:idx val="1"/>
              <c:layout>
                <c:manualLayout>
                  <c:x val="-0.0849973959346829"/>
                  <c:y val="-0.115778487205238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ru-RU" sz="1400" b="1" i="0" u="none" strike="noStrike" kern="1200" cap="none" spc="0" normalizeH="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Sum!$E$3:$G$3</c:f>
              <c:strCache>
                <c:ptCount val="3"/>
                <c:pt idx="0">
                  <c:v>К1(в первом месяце)</c:v>
                </c:pt>
                <c:pt idx="1">
                  <c:v> К2(во вторм месяце)</c:v>
                </c:pt>
                <c:pt idx="2">
                  <c:v>Не пролонгировано</c:v>
                </c:pt>
              </c:strCache>
            </c:strRef>
          </c:cat>
          <c:val>
            <c:numRef>
              <c:f>Sum!$E$4:$G$4</c:f>
              <c:numCache>
                <c:formatCode>0.00_ </c:formatCode>
                <c:ptCount val="3"/>
                <c:pt idx="0">
                  <c:v>0.306907725999204</c:v>
                </c:pt>
                <c:pt idx="1">
                  <c:v>0.0927203305135865</c:v>
                </c:pt>
                <c:pt idx="2">
                  <c:v>0.600371943487209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ru-RU" sz="14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ru-RU" sz="14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ru-RU" sz="14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123684210526316"/>
          <c:y val="0.146990740740741"/>
          <c:w val="0.753947368421053"/>
          <c:h val="0.11574074074074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14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uFill>
                <a:solidFill>
                  <a:schemeClr val="tx1">
                    <a:lumMod val="65000"/>
                    <a:lumOff val="35000"/>
                  </a:schemeClr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0eab9bb-1151-49f2-b77c-ab613ec5461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0</xdr:row>
      <xdr:rowOff>0</xdr:rowOff>
    </xdr:from>
    <xdr:to>
      <xdr:col>6</xdr:col>
      <xdr:colOff>25400</xdr:colOff>
      <xdr:row>1</xdr:row>
      <xdr:rowOff>3142615</xdr:rowOff>
    </xdr:to>
    <xdr:graphicFrame>
      <xdr:nvGraphicFramePr>
        <xdr:cNvPr id="3" name="Диаграмма 2"/>
        <xdr:cNvGraphicFramePr/>
      </xdr:nvGraphicFramePr>
      <xdr:xfrm>
        <a:off x="351790" y="0"/>
        <a:ext cx="5826125" cy="3333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447675</xdr:colOff>
      <xdr:row>0</xdr:row>
      <xdr:rowOff>174625</xdr:rowOff>
    </xdr:from>
    <xdr:to>
      <xdr:col>3</xdr:col>
      <xdr:colOff>314325</xdr:colOff>
      <xdr:row>24</xdr:row>
      <xdr:rowOff>12065</xdr:rowOff>
    </xdr:to>
    <xdr:graphicFrame>
      <xdr:nvGraphicFramePr>
        <xdr:cNvPr id="2" name="Диаграмма 1"/>
        <xdr:cNvGraphicFramePr/>
      </xdr:nvGraphicFramePr>
      <xdr:xfrm>
        <a:off x="447675" y="174625"/>
        <a:ext cx="5314950" cy="4409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2.4243634259" refreshedBy="Диана" recordCount="144">
  <cacheSource type="worksheet">
    <worksheetSource name="Таблица1"/>
  </cacheSource>
  <cacheFields count="5">
    <cacheField name="Месяц пролонгации" numFmtId="0">
      <sharedItems count="12">
        <s v="январь 2023"/>
        <s v="февраль 2023"/>
        <s v="март 2023"/>
        <s v="апрель 2023"/>
        <s v="май 2023"/>
        <s v="июнь 2023"/>
        <s v="июль 2023"/>
        <s v="август 2023"/>
        <s v="сентябрь 2023"/>
        <s v="октябрь 2023"/>
        <s v="ноябрь 2023"/>
        <s v="декабрь 2023"/>
      </sharedItems>
    </cacheField>
    <cacheField name="Менеджер" numFmtId="0">
      <sharedItems containsBlank="1" count="12">
        <s v="Васильев Артем Александрович"/>
        <m/>
        <s v="Федорова Марина Васильевна"/>
        <s v="Петрова Анна Дмитриевна"/>
        <s v="без А/М"/>
        <s v="Кузнецов Михаил Иванович"/>
        <s v="Отдел в целом"/>
        <s v="Иванова Мария Сергеевна"/>
        <s v="Соколова Анастасия Викторовна"/>
        <s v="Смирнова Ольга Владимировна"/>
        <s v="Попова Екатерина Николаевна"/>
        <s v="Михайлов Андрей Сергеевич"/>
      </sharedItems>
    </cacheField>
    <cacheField name="K1 (первый месяц)" numFmtId="0">
      <sharedItems containsSemiMixedTypes="0" containsString="0" containsNumber="1" minValue="-1.30365348890265e-5" maxValue="2.43057701729921" count="74">
        <n v="0.556235833953774"/>
        <n v="0"/>
        <n v="1.26597879048438"/>
        <n v="0.399237213548251"/>
        <n v="0.270065783585392"/>
        <n v="0.427332236505259"/>
        <n v="0.743394969182076"/>
        <n v="0.440678316189532"/>
        <n v="0.687923419130346"/>
        <n v="0.234734472191868"/>
        <n v="1.15576052100896"/>
        <n v="0.285554082334543"/>
        <n v="0.903644965682681"/>
        <n v="0.846954946796468"/>
        <n v="0.466149437953436"/>
        <n v="0.684523265380748"/>
        <n v="0.446074455518843"/>
        <n v="0.939219471833414"/>
        <n v="0.627249607455583"/>
        <n v="2.43057701729921"/>
        <n v="0.368096718561987"/>
        <n v="0.966102605425732"/>
        <n v="0.277682833545475"/>
        <n v="0.289356380830804"/>
        <n v="1.09883932042634"/>
        <n v="1.06583461537496"/>
        <n v="0.351248148578541"/>
        <n v="0.334625433064915"/>
        <n v="1"/>
        <n v="0.756947659707342"/>
        <n v="1.18961591872533"/>
        <n v="0.237406441846775"/>
        <n v="0.496909743434618"/>
        <n v="0.105063317672749"/>
        <n v="0.766422495274102"/>
        <n v="-1.30365348890265e-5"/>
        <n v="0.389287035661028"/>
        <n v="0.27002644124151"/>
        <n v="0.58501567021278"/>
        <n v="0.619088098036307"/>
        <n v="1.19752462743117"/>
        <n v="0.0960518929707478"/>
        <n v="0.472610565005606"/>
        <n v="0.219264147706406"/>
        <n v="0.479936079545454"/>
        <n v="0.541262577883539"/>
        <n v="0.477503852080123"/>
        <n v="0.372528562632551"/>
        <n v="0.540674552628795"/>
        <n v="0.998548902002515"/>
        <n v="0.172432592799243"/>
        <n v="0.294720051888979"/>
        <n v="0.454382553273806"/>
        <n v="0.765470380389609"/>
        <n v="0.244141316395832"/>
        <n v="0.484273634728332"/>
        <n v="0.886750379948676"/>
        <n v="0.841798292237774"/>
        <n v="0.449078364625057"/>
        <n v="0.793626210254749"/>
        <n v="1.04724130892381"/>
        <n v="1.30851542602158"/>
        <n v="0.621000694722617"/>
        <n v="0.191771975156696"/>
        <n v="0.17861854419187"/>
        <n v="0.836237062138569"/>
        <n v="0.473635425670599"/>
        <n v="0.314688993625791"/>
        <n v="1.11118182187386"/>
        <n v="0.274011664355054"/>
        <n v="0.32406316285647"/>
        <n v="0.600123828055899"/>
        <n v="0.791061481597168"/>
        <n v="0.361136971145256"/>
      </sharedItems>
    </cacheField>
    <cacheField name="K2 (второй месяц)" numFmtId="0">
      <sharedItems containsSemiMixedTypes="0" containsString="0" containsNumber="1" minValue="0" maxValue="1.55306516253525" count="34">
        <n v="0"/>
        <n v="0.064568624400254"/>
        <n v="0.710254868402794"/>
        <n v="0.215675504769553"/>
        <n v="0.197204193709436"/>
        <n v="0.0375345180435444"/>
        <n v="0.240148540034813"/>
        <n v="1.15052083333333"/>
        <n v="1.49111310704961"/>
        <n v="0.0755307573554188"/>
        <n v="0.720634920634921"/>
        <n v="0.110203410274686"/>
        <n v="0.00172623722940022"/>
        <n v="0.0189886095234024"/>
        <n v="0.0197716297231162"/>
        <n v="0.160525355709595"/>
        <n v="0.0569625712446836"/>
        <n v="0.0929150116175042"/>
        <n v="0.505785983617215"/>
        <n v="0.516279144175332"/>
        <n v="0.141187742048659"/>
        <n v="1.55306516253525"/>
        <n v="0.00456950405299016"/>
        <n v="0.000415409459362742"/>
        <n v="0.0605815556632671"/>
        <n v="0.0722563594317806"/>
        <n v="0.594140752864157"/>
        <n v="0.0159619658166437"/>
        <n v="0.175585046914848"/>
        <n v="0.003"/>
        <n v="0.362301974771054"/>
        <n v="0.87405466796662"/>
        <n v="0.484858555227849"/>
        <n v="0.626408499287127"/>
      </sharedItems>
    </cacheField>
    <cacheField name="Код месяца" numFmtId="0">
      <sharedItems containsString="0" containsBlank="1" containsNumber="1" containsInteger="1" minValue="1" maxValue="12" count="13">
        <n v="1"/>
        <m/>
        <n v="2"/>
        <n v="3"/>
        <n v="4"/>
        <n v="5"/>
        <n v="6"/>
        <n v="7"/>
        <n v="8"/>
        <n v="9"/>
        <n v="10"/>
        <n v="11"/>
        <n v="1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4">
  <r>
    <x v="0"/>
    <x v="0"/>
    <x v="0"/>
    <x v="0"/>
    <x v="0"/>
  </r>
  <r>
    <x v="0"/>
    <x v="1"/>
    <x v="1"/>
    <x v="0"/>
    <x v="1"/>
  </r>
  <r>
    <x v="0"/>
    <x v="2"/>
    <x v="1"/>
    <x v="0"/>
    <x v="0"/>
  </r>
  <r>
    <x v="0"/>
    <x v="3"/>
    <x v="1"/>
    <x v="0"/>
    <x v="0"/>
  </r>
  <r>
    <x v="0"/>
    <x v="4"/>
    <x v="1"/>
    <x v="0"/>
    <x v="1"/>
  </r>
  <r>
    <x v="0"/>
    <x v="5"/>
    <x v="2"/>
    <x v="0"/>
    <x v="0"/>
  </r>
  <r>
    <x v="0"/>
    <x v="6"/>
    <x v="3"/>
    <x v="1"/>
    <x v="0"/>
  </r>
  <r>
    <x v="0"/>
    <x v="7"/>
    <x v="4"/>
    <x v="0"/>
    <x v="0"/>
  </r>
  <r>
    <x v="0"/>
    <x v="8"/>
    <x v="5"/>
    <x v="2"/>
    <x v="0"/>
  </r>
  <r>
    <x v="0"/>
    <x v="9"/>
    <x v="6"/>
    <x v="0"/>
    <x v="0"/>
  </r>
  <r>
    <x v="0"/>
    <x v="10"/>
    <x v="7"/>
    <x v="0"/>
    <x v="0"/>
  </r>
  <r>
    <x v="0"/>
    <x v="11"/>
    <x v="8"/>
    <x v="0"/>
    <x v="0"/>
  </r>
  <r>
    <x v="1"/>
    <x v="8"/>
    <x v="9"/>
    <x v="3"/>
    <x v="2"/>
  </r>
  <r>
    <x v="1"/>
    <x v="0"/>
    <x v="10"/>
    <x v="4"/>
    <x v="2"/>
  </r>
  <r>
    <x v="1"/>
    <x v="6"/>
    <x v="11"/>
    <x v="5"/>
    <x v="2"/>
  </r>
  <r>
    <x v="1"/>
    <x v="1"/>
    <x v="1"/>
    <x v="0"/>
    <x v="1"/>
  </r>
  <r>
    <x v="1"/>
    <x v="3"/>
    <x v="1"/>
    <x v="0"/>
    <x v="2"/>
  </r>
  <r>
    <x v="1"/>
    <x v="4"/>
    <x v="1"/>
    <x v="0"/>
    <x v="1"/>
  </r>
  <r>
    <x v="1"/>
    <x v="2"/>
    <x v="1"/>
    <x v="0"/>
    <x v="2"/>
  </r>
  <r>
    <x v="1"/>
    <x v="9"/>
    <x v="1"/>
    <x v="0"/>
    <x v="2"/>
  </r>
  <r>
    <x v="1"/>
    <x v="7"/>
    <x v="1"/>
    <x v="0"/>
    <x v="2"/>
  </r>
  <r>
    <x v="1"/>
    <x v="10"/>
    <x v="1"/>
    <x v="0"/>
    <x v="2"/>
  </r>
  <r>
    <x v="1"/>
    <x v="11"/>
    <x v="12"/>
    <x v="0"/>
    <x v="2"/>
  </r>
  <r>
    <x v="1"/>
    <x v="5"/>
    <x v="13"/>
    <x v="0"/>
    <x v="2"/>
  </r>
  <r>
    <x v="2"/>
    <x v="3"/>
    <x v="1"/>
    <x v="0"/>
    <x v="3"/>
  </r>
  <r>
    <x v="2"/>
    <x v="6"/>
    <x v="14"/>
    <x v="6"/>
    <x v="3"/>
  </r>
  <r>
    <x v="2"/>
    <x v="1"/>
    <x v="1"/>
    <x v="0"/>
    <x v="1"/>
  </r>
  <r>
    <x v="2"/>
    <x v="2"/>
    <x v="1"/>
    <x v="0"/>
    <x v="3"/>
  </r>
  <r>
    <x v="2"/>
    <x v="4"/>
    <x v="1"/>
    <x v="0"/>
    <x v="1"/>
  </r>
  <r>
    <x v="2"/>
    <x v="10"/>
    <x v="15"/>
    <x v="0"/>
    <x v="3"/>
  </r>
  <r>
    <x v="2"/>
    <x v="9"/>
    <x v="1"/>
    <x v="7"/>
    <x v="3"/>
  </r>
  <r>
    <x v="2"/>
    <x v="7"/>
    <x v="16"/>
    <x v="0"/>
    <x v="3"/>
  </r>
  <r>
    <x v="2"/>
    <x v="8"/>
    <x v="17"/>
    <x v="0"/>
    <x v="3"/>
  </r>
  <r>
    <x v="2"/>
    <x v="0"/>
    <x v="18"/>
    <x v="8"/>
    <x v="3"/>
  </r>
  <r>
    <x v="2"/>
    <x v="5"/>
    <x v="1"/>
    <x v="0"/>
    <x v="3"/>
  </r>
  <r>
    <x v="2"/>
    <x v="11"/>
    <x v="19"/>
    <x v="0"/>
    <x v="3"/>
  </r>
  <r>
    <x v="3"/>
    <x v="2"/>
    <x v="1"/>
    <x v="0"/>
    <x v="4"/>
  </r>
  <r>
    <x v="3"/>
    <x v="6"/>
    <x v="20"/>
    <x v="9"/>
    <x v="4"/>
  </r>
  <r>
    <x v="3"/>
    <x v="1"/>
    <x v="1"/>
    <x v="0"/>
    <x v="1"/>
  </r>
  <r>
    <x v="3"/>
    <x v="3"/>
    <x v="1"/>
    <x v="0"/>
    <x v="4"/>
  </r>
  <r>
    <x v="3"/>
    <x v="4"/>
    <x v="1"/>
    <x v="0"/>
    <x v="1"/>
  </r>
  <r>
    <x v="3"/>
    <x v="9"/>
    <x v="21"/>
    <x v="0"/>
    <x v="4"/>
  </r>
  <r>
    <x v="3"/>
    <x v="7"/>
    <x v="22"/>
    <x v="0"/>
    <x v="4"/>
  </r>
  <r>
    <x v="3"/>
    <x v="10"/>
    <x v="23"/>
    <x v="10"/>
    <x v="4"/>
  </r>
  <r>
    <x v="3"/>
    <x v="11"/>
    <x v="24"/>
    <x v="0"/>
    <x v="4"/>
  </r>
  <r>
    <x v="3"/>
    <x v="8"/>
    <x v="25"/>
    <x v="0"/>
    <x v="4"/>
  </r>
  <r>
    <x v="3"/>
    <x v="5"/>
    <x v="1"/>
    <x v="0"/>
    <x v="4"/>
  </r>
  <r>
    <x v="3"/>
    <x v="0"/>
    <x v="26"/>
    <x v="11"/>
    <x v="4"/>
  </r>
  <r>
    <x v="4"/>
    <x v="6"/>
    <x v="27"/>
    <x v="12"/>
    <x v="5"/>
  </r>
  <r>
    <x v="4"/>
    <x v="1"/>
    <x v="1"/>
    <x v="0"/>
    <x v="1"/>
  </r>
  <r>
    <x v="4"/>
    <x v="2"/>
    <x v="1"/>
    <x v="0"/>
    <x v="5"/>
  </r>
  <r>
    <x v="4"/>
    <x v="3"/>
    <x v="1"/>
    <x v="0"/>
    <x v="5"/>
  </r>
  <r>
    <x v="4"/>
    <x v="4"/>
    <x v="1"/>
    <x v="0"/>
    <x v="1"/>
  </r>
  <r>
    <x v="4"/>
    <x v="5"/>
    <x v="1"/>
    <x v="0"/>
    <x v="5"/>
  </r>
  <r>
    <x v="4"/>
    <x v="9"/>
    <x v="1"/>
    <x v="0"/>
    <x v="5"/>
  </r>
  <r>
    <x v="4"/>
    <x v="7"/>
    <x v="28"/>
    <x v="0"/>
    <x v="5"/>
  </r>
  <r>
    <x v="4"/>
    <x v="10"/>
    <x v="29"/>
    <x v="0"/>
    <x v="5"/>
  </r>
  <r>
    <x v="4"/>
    <x v="11"/>
    <x v="30"/>
    <x v="0"/>
    <x v="5"/>
  </r>
  <r>
    <x v="4"/>
    <x v="8"/>
    <x v="31"/>
    <x v="0"/>
    <x v="5"/>
  </r>
  <r>
    <x v="4"/>
    <x v="0"/>
    <x v="32"/>
    <x v="13"/>
    <x v="5"/>
  </r>
  <r>
    <x v="5"/>
    <x v="6"/>
    <x v="33"/>
    <x v="14"/>
    <x v="6"/>
  </r>
  <r>
    <x v="5"/>
    <x v="1"/>
    <x v="1"/>
    <x v="0"/>
    <x v="1"/>
  </r>
  <r>
    <x v="5"/>
    <x v="2"/>
    <x v="1"/>
    <x v="0"/>
    <x v="6"/>
  </r>
  <r>
    <x v="5"/>
    <x v="8"/>
    <x v="34"/>
    <x v="0"/>
    <x v="6"/>
  </r>
  <r>
    <x v="5"/>
    <x v="4"/>
    <x v="1"/>
    <x v="0"/>
    <x v="1"/>
  </r>
  <r>
    <x v="5"/>
    <x v="5"/>
    <x v="1"/>
    <x v="0"/>
    <x v="6"/>
  </r>
  <r>
    <x v="5"/>
    <x v="9"/>
    <x v="1"/>
    <x v="0"/>
    <x v="6"/>
  </r>
  <r>
    <x v="5"/>
    <x v="7"/>
    <x v="35"/>
    <x v="0"/>
    <x v="6"/>
  </r>
  <r>
    <x v="5"/>
    <x v="10"/>
    <x v="1"/>
    <x v="15"/>
    <x v="6"/>
  </r>
  <r>
    <x v="5"/>
    <x v="11"/>
    <x v="1"/>
    <x v="0"/>
    <x v="6"/>
  </r>
  <r>
    <x v="5"/>
    <x v="0"/>
    <x v="36"/>
    <x v="16"/>
    <x v="6"/>
  </r>
  <r>
    <x v="5"/>
    <x v="3"/>
    <x v="1"/>
    <x v="0"/>
    <x v="6"/>
  </r>
  <r>
    <x v="6"/>
    <x v="6"/>
    <x v="37"/>
    <x v="17"/>
    <x v="7"/>
  </r>
  <r>
    <x v="6"/>
    <x v="1"/>
    <x v="1"/>
    <x v="0"/>
    <x v="1"/>
  </r>
  <r>
    <x v="6"/>
    <x v="2"/>
    <x v="1"/>
    <x v="0"/>
    <x v="7"/>
  </r>
  <r>
    <x v="6"/>
    <x v="4"/>
    <x v="1"/>
    <x v="0"/>
    <x v="1"/>
  </r>
  <r>
    <x v="6"/>
    <x v="0"/>
    <x v="38"/>
    <x v="0"/>
    <x v="7"/>
  </r>
  <r>
    <x v="6"/>
    <x v="8"/>
    <x v="39"/>
    <x v="0"/>
    <x v="7"/>
  </r>
  <r>
    <x v="6"/>
    <x v="11"/>
    <x v="40"/>
    <x v="0"/>
    <x v="7"/>
  </r>
  <r>
    <x v="6"/>
    <x v="10"/>
    <x v="41"/>
    <x v="18"/>
    <x v="7"/>
  </r>
  <r>
    <x v="6"/>
    <x v="7"/>
    <x v="42"/>
    <x v="0"/>
    <x v="7"/>
  </r>
  <r>
    <x v="6"/>
    <x v="3"/>
    <x v="1"/>
    <x v="0"/>
    <x v="7"/>
  </r>
  <r>
    <x v="6"/>
    <x v="9"/>
    <x v="1"/>
    <x v="19"/>
    <x v="7"/>
  </r>
  <r>
    <x v="6"/>
    <x v="5"/>
    <x v="1"/>
    <x v="0"/>
    <x v="7"/>
  </r>
  <r>
    <x v="7"/>
    <x v="5"/>
    <x v="1"/>
    <x v="0"/>
    <x v="8"/>
  </r>
  <r>
    <x v="7"/>
    <x v="6"/>
    <x v="43"/>
    <x v="20"/>
    <x v="8"/>
  </r>
  <r>
    <x v="7"/>
    <x v="10"/>
    <x v="44"/>
    <x v="0"/>
    <x v="8"/>
  </r>
  <r>
    <x v="7"/>
    <x v="11"/>
    <x v="1"/>
    <x v="0"/>
    <x v="8"/>
  </r>
  <r>
    <x v="7"/>
    <x v="8"/>
    <x v="45"/>
    <x v="0"/>
    <x v="8"/>
  </r>
  <r>
    <x v="7"/>
    <x v="0"/>
    <x v="46"/>
    <x v="0"/>
    <x v="8"/>
  </r>
  <r>
    <x v="7"/>
    <x v="9"/>
    <x v="47"/>
    <x v="21"/>
    <x v="8"/>
  </r>
  <r>
    <x v="7"/>
    <x v="7"/>
    <x v="48"/>
    <x v="0"/>
    <x v="8"/>
  </r>
  <r>
    <x v="7"/>
    <x v="4"/>
    <x v="1"/>
    <x v="0"/>
    <x v="1"/>
  </r>
  <r>
    <x v="7"/>
    <x v="3"/>
    <x v="1"/>
    <x v="0"/>
    <x v="8"/>
  </r>
  <r>
    <x v="7"/>
    <x v="2"/>
    <x v="1"/>
    <x v="0"/>
    <x v="8"/>
  </r>
  <r>
    <x v="7"/>
    <x v="1"/>
    <x v="1"/>
    <x v="0"/>
    <x v="1"/>
  </r>
  <r>
    <x v="8"/>
    <x v="7"/>
    <x v="49"/>
    <x v="0"/>
    <x v="9"/>
  </r>
  <r>
    <x v="8"/>
    <x v="0"/>
    <x v="50"/>
    <x v="0"/>
    <x v="9"/>
  </r>
  <r>
    <x v="8"/>
    <x v="8"/>
    <x v="51"/>
    <x v="22"/>
    <x v="9"/>
  </r>
  <r>
    <x v="8"/>
    <x v="10"/>
    <x v="52"/>
    <x v="0"/>
    <x v="9"/>
  </r>
  <r>
    <x v="8"/>
    <x v="4"/>
    <x v="1"/>
    <x v="0"/>
    <x v="1"/>
  </r>
  <r>
    <x v="8"/>
    <x v="1"/>
    <x v="1"/>
    <x v="0"/>
    <x v="1"/>
  </r>
  <r>
    <x v="8"/>
    <x v="2"/>
    <x v="1"/>
    <x v="0"/>
    <x v="9"/>
  </r>
  <r>
    <x v="8"/>
    <x v="3"/>
    <x v="1"/>
    <x v="0"/>
    <x v="9"/>
  </r>
  <r>
    <x v="8"/>
    <x v="11"/>
    <x v="1"/>
    <x v="0"/>
    <x v="9"/>
  </r>
  <r>
    <x v="8"/>
    <x v="5"/>
    <x v="1"/>
    <x v="0"/>
    <x v="9"/>
  </r>
  <r>
    <x v="8"/>
    <x v="9"/>
    <x v="53"/>
    <x v="0"/>
    <x v="9"/>
  </r>
  <r>
    <x v="8"/>
    <x v="6"/>
    <x v="54"/>
    <x v="23"/>
    <x v="9"/>
  </r>
  <r>
    <x v="9"/>
    <x v="6"/>
    <x v="55"/>
    <x v="24"/>
    <x v="10"/>
  </r>
  <r>
    <x v="9"/>
    <x v="1"/>
    <x v="1"/>
    <x v="0"/>
    <x v="1"/>
  </r>
  <r>
    <x v="9"/>
    <x v="0"/>
    <x v="56"/>
    <x v="25"/>
    <x v="10"/>
  </r>
  <r>
    <x v="9"/>
    <x v="8"/>
    <x v="57"/>
    <x v="0"/>
    <x v="10"/>
  </r>
  <r>
    <x v="9"/>
    <x v="3"/>
    <x v="1"/>
    <x v="0"/>
    <x v="10"/>
  </r>
  <r>
    <x v="9"/>
    <x v="11"/>
    <x v="58"/>
    <x v="0"/>
    <x v="10"/>
  </r>
  <r>
    <x v="9"/>
    <x v="10"/>
    <x v="59"/>
    <x v="26"/>
    <x v="10"/>
  </r>
  <r>
    <x v="9"/>
    <x v="7"/>
    <x v="1"/>
    <x v="0"/>
    <x v="10"/>
  </r>
  <r>
    <x v="9"/>
    <x v="9"/>
    <x v="60"/>
    <x v="0"/>
    <x v="10"/>
  </r>
  <r>
    <x v="9"/>
    <x v="5"/>
    <x v="61"/>
    <x v="0"/>
    <x v="10"/>
  </r>
  <r>
    <x v="9"/>
    <x v="4"/>
    <x v="1"/>
    <x v="0"/>
    <x v="10"/>
  </r>
  <r>
    <x v="9"/>
    <x v="2"/>
    <x v="1"/>
    <x v="0"/>
    <x v="10"/>
  </r>
  <r>
    <x v="10"/>
    <x v="0"/>
    <x v="62"/>
    <x v="0"/>
    <x v="11"/>
  </r>
  <r>
    <x v="10"/>
    <x v="6"/>
    <x v="63"/>
    <x v="27"/>
    <x v="11"/>
  </r>
  <r>
    <x v="10"/>
    <x v="10"/>
    <x v="1"/>
    <x v="28"/>
    <x v="11"/>
  </r>
  <r>
    <x v="10"/>
    <x v="2"/>
    <x v="1"/>
    <x v="0"/>
    <x v="11"/>
  </r>
  <r>
    <x v="10"/>
    <x v="8"/>
    <x v="64"/>
    <x v="29"/>
    <x v="11"/>
  </r>
  <r>
    <x v="10"/>
    <x v="11"/>
    <x v="1"/>
    <x v="0"/>
    <x v="11"/>
  </r>
  <r>
    <x v="10"/>
    <x v="7"/>
    <x v="1"/>
    <x v="0"/>
    <x v="11"/>
  </r>
  <r>
    <x v="10"/>
    <x v="9"/>
    <x v="65"/>
    <x v="0"/>
    <x v="11"/>
  </r>
  <r>
    <x v="10"/>
    <x v="5"/>
    <x v="66"/>
    <x v="0"/>
    <x v="11"/>
  </r>
  <r>
    <x v="10"/>
    <x v="4"/>
    <x v="1"/>
    <x v="0"/>
    <x v="11"/>
  </r>
  <r>
    <x v="10"/>
    <x v="3"/>
    <x v="1"/>
    <x v="0"/>
    <x v="11"/>
  </r>
  <r>
    <x v="10"/>
    <x v="1"/>
    <x v="1"/>
    <x v="0"/>
    <x v="11"/>
  </r>
  <r>
    <x v="11"/>
    <x v="6"/>
    <x v="67"/>
    <x v="30"/>
    <x v="12"/>
  </r>
  <r>
    <x v="11"/>
    <x v="11"/>
    <x v="1"/>
    <x v="0"/>
    <x v="12"/>
  </r>
  <r>
    <x v="11"/>
    <x v="1"/>
    <x v="1"/>
    <x v="0"/>
    <x v="12"/>
  </r>
  <r>
    <x v="11"/>
    <x v="2"/>
    <x v="1"/>
    <x v="0"/>
    <x v="12"/>
  </r>
  <r>
    <x v="11"/>
    <x v="3"/>
    <x v="68"/>
    <x v="0"/>
    <x v="12"/>
  </r>
  <r>
    <x v="11"/>
    <x v="4"/>
    <x v="1"/>
    <x v="0"/>
    <x v="12"/>
  </r>
  <r>
    <x v="11"/>
    <x v="5"/>
    <x v="69"/>
    <x v="31"/>
    <x v="12"/>
  </r>
  <r>
    <x v="11"/>
    <x v="0"/>
    <x v="70"/>
    <x v="32"/>
    <x v="12"/>
  </r>
  <r>
    <x v="11"/>
    <x v="7"/>
    <x v="1"/>
    <x v="0"/>
    <x v="12"/>
  </r>
  <r>
    <x v="11"/>
    <x v="10"/>
    <x v="71"/>
    <x v="0"/>
    <x v="12"/>
  </r>
  <r>
    <x v="11"/>
    <x v="8"/>
    <x v="72"/>
    <x v="0"/>
    <x v="12"/>
  </r>
  <r>
    <x v="11"/>
    <x v="9"/>
    <x v="73"/>
    <x v="33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_Коэффициенты" cacheId="0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 chartFormat="2">
  <location ref="C3:F28" firstHeaderRow="0" firstDataRow="1" firstDataCol="2"/>
  <pivotFields count="5">
    <pivotField axis="axisRow" compact="0" showAll="0">
      <items count="13">
        <item x="7"/>
        <item x="3"/>
        <item x="11"/>
        <item x="6"/>
        <item x="5"/>
        <item x="4"/>
        <item x="2"/>
        <item x="10"/>
        <item x="9"/>
        <item x="8"/>
        <item x="1"/>
        <item x="0"/>
        <item t="default"/>
      </items>
    </pivotField>
    <pivotField compact="0" multipleItemSelectionAllowed="1" showAll="0">
      <items count="13">
        <item h="1" x="4"/>
        <item h="1" x="0"/>
        <item h="1" x="7"/>
        <item h="1" x="5"/>
        <item h="1" x="11"/>
        <item x="6"/>
        <item h="1" x="3"/>
        <item h="1" x="10"/>
        <item h="1" x="9"/>
        <item h="1" x="8"/>
        <item h="1" x="2"/>
        <item h="1" x="1"/>
        <item t="default"/>
      </items>
    </pivotField>
    <pivotField dataField="1" compact="0" showAll="0">
      <items count="75">
        <item x="35"/>
        <item x="1"/>
        <item x="41"/>
        <item x="33"/>
        <item x="50"/>
        <item x="64"/>
        <item x="63"/>
        <item x="43"/>
        <item x="9"/>
        <item x="31"/>
        <item x="54"/>
        <item x="37"/>
        <item x="4"/>
        <item x="69"/>
        <item x="22"/>
        <item x="11"/>
        <item x="23"/>
        <item x="51"/>
        <item x="67"/>
        <item x="70"/>
        <item x="27"/>
        <item x="73"/>
        <item x="20"/>
        <item x="47"/>
        <item x="36"/>
        <item x="3"/>
        <item x="5"/>
        <item x="7"/>
        <item x="16"/>
        <item x="58"/>
        <item x="14"/>
        <item x="42"/>
        <item x="66"/>
        <item x="46"/>
        <item x="55"/>
        <item x="32"/>
        <item x="48"/>
        <item x="45"/>
        <item x="0"/>
        <item x="38"/>
        <item x="39"/>
        <item x="62"/>
        <item x="18"/>
        <item x="15"/>
        <item x="8"/>
        <item x="6"/>
        <item x="29"/>
        <item x="53"/>
        <item x="34"/>
        <item x="72"/>
        <item x="59"/>
        <item x="65"/>
        <item x="57"/>
        <item x="13"/>
        <item x="56"/>
        <item x="12"/>
        <item x="17"/>
        <item x="21"/>
        <item x="49"/>
        <item x="28"/>
        <item x="60"/>
        <item x="25"/>
        <item x="24"/>
        <item x="68"/>
        <item x="10"/>
        <item x="30"/>
        <item x="40"/>
        <item x="2"/>
        <item x="61"/>
        <item x="19"/>
        <item x="26"/>
        <item x="44"/>
        <item x="52"/>
        <item x="71"/>
        <item t="default"/>
      </items>
    </pivotField>
    <pivotField dataField="1" compact="0" showAll="0">
      <items count="35">
        <item x="0"/>
        <item x="23"/>
        <item x="12"/>
        <item x="22"/>
        <item x="27"/>
        <item x="13"/>
        <item x="14"/>
        <item x="5"/>
        <item x="16"/>
        <item x="24"/>
        <item x="1"/>
        <item x="9"/>
        <item x="11"/>
        <item x="20"/>
        <item x="15"/>
        <item x="28"/>
        <item x="4"/>
        <item x="3"/>
        <item x="6"/>
        <item x="30"/>
        <item x="32"/>
        <item x="18"/>
        <item x="19"/>
        <item x="26"/>
        <item x="33"/>
        <item x="2"/>
        <item x="10"/>
        <item x="7"/>
        <item x="8"/>
        <item x="21"/>
        <item x="17"/>
        <item x="25"/>
        <item x="29"/>
        <item x="31"/>
        <item t="default"/>
      </items>
    </pivotField>
    <pivotField axis="axisRow" compact="0" multipleItemSelectionAllowed="1" showAll="0">
      <items count="14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h="1" x="1"/>
        <item t="default"/>
      </items>
    </pivotField>
  </pivotFields>
  <rowFields count="2">
    <field x="4"/>
    <field x="0"/>
  </rowFields>
  <rowItems count="25">
    <i>
      <x/>
    </i>
    <i r="1">
      <x v="11"/>
    </i>
    <i>
      <x v="1"/>
    </i>
    <i r="1">
      <x v="10"/>
    </i>
    <i>
      <x v="2"/>
    </i>
    <i r="1">
      <x v="6"/>
    </i>
    <i>
      <x v="3"/>
    </i>
    <i r="1">
      <x v="1"/>
    </i>
    <i>
      <x v="4"/>
    </i>
    <i r="1">
      <x v="5"/>
    </i>
    <i>
      <x v="5"/>
    </i>
    <i r="1">
      <x v="4"/>
    </i>
    <i>
      <x v="6"/>
    </i>
    <i r="1">
      <x v="3"/>
    </i>
    <i>
      <x v="7"/>
    </i>
    <i r="1">
      <x/>
    </i>
    <i>
      <x v="8"/>
    </i>
    <i r="1">
      <x v="9"/>
    </i>
    <i>
      <x v="9"/>
    </i>
    <i r="1">
      <x v="8"/>
    </i>
    <i>
      <x v="10"/>
    </i>
    <i r="1">
      <x v="7"/>
    </i>
    <i>
      <x v="1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Среднее из K1 (первый месяц)" fld="2" subtotal="average" baseField="0" baseItem="0"/>
    <dataField name="Среднее из K2 (второй месяц)" fld="3" subtotal="average" baseField="0" baseItem="0"/>
  </dataFields>
  <formats count="3">
    <format dxfId="0">
      <pivotArea field="4" type="button" dataOnly="0" labelOnly="1" outline="0" fieldPosition="0"/>
    </format>
    <format dxfId="1">
      <pivotArea dataOnly="0" labelOnly="1" fieldPosition="0">
        <references count="1">
          <reference field="4" count="0" defaultSubtotal="1"/>
        </references>
      </pivotArea>
    </format>
    <format dxfId="2">
      <pivotArea dataOnly="0" labelOnly="1" grandRow="1" offset="A1:A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_x000a_таблица2" cacheId="0" autoFormatId="1" applyNumberFormats="0" applyBorderFormats="0" applyFontFormats="0" applyPatternFormats="0" applyAlignmentFormats="0" applyWidthHeightFormats="1" dataCaption="Значения" updatedVersion="5" minRefreshableVersion="3" createdVersion="5" rowGrandTotals="0" compact="0" indent="0" outline="1" compactData="0" outlineData="1" showDrill="1" multipleFieldFilters="0" grandTotalCaption=" Средний показатель">
  <location ref="A3:N14" firstHeaderRow="1" firstDataRow="3" firstDataCol="1"/>
  <pivotFields count="5">
    <pivotField axis="axisCol" compact="0" showAll="0">
      <items count="13">
        <item x="7"/>
        <item x="3"/>
        <item x="11"/>
        <item x="6"/>
        <item x="5"/>
        <item x="4"/>
        <item x="2"/>
        <item x="10"/>
        <item x="9"/>
        <item x="8"/>
        <item x="1"/>
        <item x="0"/>
        <item t="default"/>
      </items>
    </pivotField>
    <pivotField axis="axisRow" compact="0" multipleItemSelectionAllowed="1" showAll="0">
      <items count="13">
        <item h="1" x="4"/>
        <item x="0"/>
        <item x="7"/>
        <item x="5"/>
        <item x="11"/>
        <item h="1" x="6"/>
        <item x="3"/>
        <item x="10"/>
        <item x="9"/>
        <item x="8"/>
        <item x="2"/>
        <item h="1" x="1"/>
        <item t="default"/>
      </items>
    </pivotField>
    <pivotField dataField="1" compact="0" showAll="0">
      <items count="75">
        <item x="35"/>
        <item x="1"/>
        <item x="41"/>
        <item x="33"/>
        <item x="50"/>
        <item x="64"/>
        <item x="63"/>
        <item x="43"/>
        <item x="9"/>
        <item x="31"/>
        <item x="54"/>
        <item x="37"/>
        <item x="4"/>
        <item x="69"/>
        <item x="22"/>
        <item x="11"/>
        <item x="23"/>
        <item x="51"/>
        <item x="67"/>
        <item x="70"/>
        <item x="27"/>
        <item x="73"/>
        <item x="20"/>
        <item x="47"/>
        <item x="36"/>
        <item x="3"/>
        <item x="5"/>
        <item x="7"/>
        <item x="16"/>
        <item x="58"/>
        <item x="14"/>
        <item x="42"/>
        <item x="66"/>
        <item x="46"/>
        <item x="55"/>
        <item x="32"/>
        <item x="48"/>
        <item x="45"/>
        <item x="0"/>
        <item x="38"/>
        <item x="39"/>
        <item x="62"/>
        <item x="18"/>
        <item x="15"/>
        <item x="8"/>
        <item x="6"/>
        <item x="29"/>
        <item x="53"/>
        <item x="34"/>
        <item x="72"/>
        <item x="59"/>
        <item x="65"/>
        <item x="57"/>
        <item x="13"/>
        <item x="56"/>
        <item x="12"/>
        <item x="17"/>
        <item x="21"/>
        <item x="49"/>
        <item x="28"/>
        <item x="60"/>
        <item x="25"/>
        <item x="24"/>
        <item x="68"/>
        <item x="10"/>
        <item x="30"/>
        <item x="40"/>
        <item x="2"/>
        <item x="61"/>
        <item x="19"/>
        <item x="26"/>
        <item x="44"/>
        <item x="52"/>
        <item x="71"/>
        <item t="default"/>
      </items>
    </pivotField>
    <pivotField compact="0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6"/>
        <item x="27"/>
        <item x="28"/>
        <item x="30"/>
        <item x="32"/>
        <item x="33"/>
        <item x="17"/>
        <item x="25"/>
        <item x="29"/>
        <item x="31"/>
        <item t="default"/>
      </items>
    </pivotField>
    <pivotField axis="axisCol" compact="0" defaultSubtotal="0" subtotalTop="0" showAll="0">
      <items count="13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"/>
      </items>
    </pivotField>
  </pivotFields>
  <rowFields count="1">
    <field x="1"/>
  </rowFields>
  <rowItems count="9"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</rowItems>
  <colFields count="2">
    <field x="4"/>
    <field x="0"/>
  </colFields>
  <colItems count="13">
    <i>
      <x/>
      <x v="11"/>
    </i>
    <i>
      <x v="1"/>
      <x v="10"/>
    </i>
    <i>
      <x v="2"/>
      <x v="6"/>
    </i>
    <i>
      <x v="3"/>
      <x v="1"/>
    </i>
    <i>
      <x v="4"/>
      <x v="5"/>
    </i>
    <i>
      <x v="5"/>
      <x v="4"/>
    </i>
    <i>
      <x v="6"/>
      <x v="3"/>
    </i>
    <i>
      <x v="7"/>
      <x/>
    </i>
    <i>
      <x v="8"/>
      <x v="9"/>
    </i>
    <i>
      <x v="9"/>
      <x v="8"/>
    </i>
    <i>
      <x v="10"/>
      <x v="7"/>
    </i>
    <i>
      <x v="11"/>
      <x v="2"/>
    </i>
    <i t="grand">
      <x/>
    </i>
  </colItems>
  <dataFields count="1">
    <dataField name="Сумма K1 (первый месяц)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_x000a_таблица3" cacheId="0" autoFormatId="1" applyNumberFormats="0" applyBorderFormats="0" applyFontFormats="0" applyPatternFormats="0" applyAlignmentFormats="0" applyWidthHeightFormats="1" dataCaption="Значения" updatedVersion="5" minRefreshableVersion="3" createdVersion="5" useAutoFormatting="1" compact="0" indent="0" outline="1" compactData="0" outlineData="1" showDrill="1" multipleFieldFilters="0">
  <location ref="A3:C20" firstHeaderRow="1" firstDataRow="1" firstDataCol="0"/>
  <pivotFields count="5">
    <pivotField compact="0" showAll="0"/>
    <pivotField compact="0" showAll="0"/>
    <pivotField compact="0" showAll="0"/>
    <pivotField compact="0" showAll="0"/>
    <pivotField compact="0" showAll="0"/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Таблица1" displayName="Таблица1" ref="A1:E145" totalsRowShown="0">
  <autoFilter xmlns:etc="http://www.wps.cn/officeDocument/2017/etCustomData" ref="A1:E145" etc:filterBottomFollowUsedRange="0">
    <filterColumn colId="1">
      <filters>
        <filter val="Соколова Анастасия Викторовна"/>
        <filter val="Иванова Мария Сергеевна"/>
        <filter val="Попова Екатерина Николаевна"/>
        <filter val="Петрова Анна Дмитриевна"/>
        <filter val="Смирнова Ольга Владимировна"/>
        <filter val="Федорова Марина Васильевна"/>
        <filter val="Васильев Артем Александрович"/>
        <filter val="Кузнецов Михаил Иванович"/>
        <filter val="Михайлов Андрей Сергеевич"/>
        <filter val="Отдел в целом"/>
      </filters>
    </filterColumn>
  </autoFilter>
  <tableColumns count="5">
    <tableColumn id="1" name="Месяц пролонгации"/>
    <tableColumn id="2" name="Менеджер"/>
    <tableColumn id="3" name="K1 (первый месяц)"/>
    <tableColumn id="4" name="K2 (второй месяц)"/>
    <tableColumn id="5" name="Код месяца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Таблица3" displayName="Таблица3" ref="P5:P10" totalsRowShown="0">
  <autoFilter xmlns:etc="http://www.wps.cn/officeDocument/2017/etCustomData" ref="P5:P10" etc:filterBottomFollowUsedRange="0"/>
  <sortState ref="P5:P10">
    <sortCondition ref="P6:P10"/>
  </sortState>
  <tableColumns count="1">
    <tableColumn id="1" name=" 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7" name="Таблица3_8" displayName="Таблица3_8" ref="P18:P23" totalsRowShown="0">
  <autoFilter xmlns:etc="http://www.wps.cn/officeDocument/2017/etCustomData" ref="P18:P23" etc:filterBottomFollowUsedRange="0"/>
  <sortState ref="P18:P23">
    <sortCondition ref="P18:P23"/>
  </sortState>
  <tableColumns count="1">
    <tableColumn id="1" name=" 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5" name="Таблица5" displayName="Таблица5" ref="E3:G4" totalsRowShown="0">
  <autoFilter xmlns:etc="http://www.wps.cn/officeDocument/2017/etCustomData" ref="E3:G4" etc:filterBottomFollowUsedRange="0"/>
  <tableColumns count="3">
    <tableColumn id="1" name="К1(в первом месяце)" dataDxfId="3"/>
    <tableColumn id="2" name=" К2(во вторм месяце)" dataDxfId="4"/>
    <tableColumn id="3" name="Не пролонгировано" dataDxfId="5">
      <calculatedColumnFormula>1-E4-F4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"/>
  <sheetViews>
    <sheetView showGridLines="0" tabSelected="1" workbookViewId="0">
      <selection activeCell="H140" sqref="H140"/>
    </sheetView>
  </sheetViews>
  <sheetFormatPr defaultColWidth="9" defaultRowHeight="15" outlineLevelCol="4"/>
  <cols>
    <col min="1" max="1" width="21.1428571428571" customWidth="1"/>
    <col min="2" max="2" width="33.5714285714286" customWidth="1"/>
    <col min="3" max="3" width="19.5714285714286" customWidth="1"/>
    <col min="4" max="4" width="1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0.556235833953774</v>
      </c>
      <c r="D2">
        <v>0</v>
      </c>
      <c r="E2">
        <v>1</v>
      </c>
    </row>
    <row r="3" hidden="1" spans="1:4">
      <c r="A3" t="s">
        <v>5</v>
      </c>
      <c r="C3">
        <v>0</v>
      </c>
      <c r="D3">
        <v>0</v>
      </c>
    </row>
    <row r="4" spans="1:5">
      <c r="A4" t="s">
        <v>5</v>
      </c>
      <c r="B4" t="s">
        <v>7</v>
      </c>
      <c r="C4">
        <v>0</v>
      </c>
      <c r="D4">
        <v>0</v>
      </c>
      <c r="E4">
        <v>1</v>
      </c>
    </row>
    <row r="5" spans="1:5">
      <c r="A5" t="s">
        <v>5</v>
      </c>
      <c r="B5" t="s">
        <v>8</v>
      </c>
      <c r="C5">
        <v>0</v>
      </c>
      <c r="D5">
        <v>0</v>
      </c>
      <c r="E5">
        <v>1</v>
      </c>
    </row>
    <row r="6" hidden="1" spans="1:4">
      <c r="A6" t="s">
        <v>5</v>
      </c>
      <c r="B6" t="s">
        <v>9</v>
      </c>
      <c r="C6">
        <v>0</v>
      </c>
      <c r="D6">
        <v>0</v>
      </c>
    </row>
    <row r="7" spans="1:5">
      <c r="A7" t="s">
        <v>5</v>
      </c>
      <c r="B7" t="s">
        <v>10</v>
      </c>
      <c r="C7">
        <v>1.26597879048438</v>
      </c>
      <c r="D7">
        <v>0</v>
      </c>
      <c r="E7">
        <v>1</v>
      </c>
    </row>
    <row r="8" spans="1:5">
      <c r="A8" t="s">
        <v>5</v>
      </c>
      <c r="B8" t="s">
        <v>11</v>
      </c>
      <c r="C8">
        <v>0.399237213548251</v>
      </c>
      <c r="D8">
        <v>0.064568624400254</v>
      </c>
      <c r="E8">
        <v>1</v>
      </c>
    </row>
    <row r="9" spans="1:5">
      <c r="A9" t="s">
        <v>5</v>
      </c>
      <c r="B9" t="s">
        <v>12</v>
      </c>
      <c r="C9">
        <v>0.270065783585392</v>
      </c>
      <c r="D9">
        <v>0</v>
      </c>
      <c r="E9">
        <v>1</v>
      </c>
    </row>
    <row r="10" spans="1:5">
      <c r="A10" t="s">
        <v>5</v>
      </c>
      <c r="B10" t="s">
        <v>13</v>
      </c>
      <c r="C10">
        <v>0.427332236505259</v>
      </c>
      <c r="D10">
        <v>0.710254868402794</v>
      </c>
      <c r="E10">
        <v>1</v>
      </c>
    </row>
    <row r="11" spans="1:5">
      <c r="A11" t="s">
        <v>5</v>
      </c>
      <c r="B11" t="s">
        <v>14</v>
      </c>
      <c r="C11">
        <v>0.743394969182076</v>
      </c>
      <c r="D11">
        <v>0</v>
      </c>
      <c r="E11">
        <v>1</v>
      </c>
    </row>
    <row r="12" spans="1:5">
      <c r="A12" t="s">
        <v>5</v>
      </c>
      <c r="B12" t="s">
        <v>15</v>
      </c>
      <c r="C12">
        <v>0.440678316189532</v>
      </c>
      <c r="D12">
        <v>0</v>
      </c>
      <c r="E12">
        <v>1</v>
      </c>
    </row>
    <row r="13" spans="1:5">
      <c r="A13" t="s">
        <v>5</v>
      </c>
      <c r="B13" t="s">
        <v>16</v>
      </c>
      <c r="C13">
        <v>0.687923419130346</v>
      </c>
      <c r="D13">
        <v>0</v>
      </c>
      <c r="E13">
        <v>1</v>
      </c>
    </row>
    <row r="14" spans="1:5">
      <c r="A14" t="s">
        <v>17</v>
      </c>
      <c r="B14" t="s">
        <v>13</v>
      </c>
      <c r="C14">
        <v>0.234734472191868</v>
      </c>
      <c r="D14">
        <v>0.215675504769553</v>
      </c>
      <c r="E14">
        <v>2</v>
      </c>
    </row>
    <row r="15" spans="1:5">
      <c r="A15" t="s">
        <v>17</v>
      </c>
      <c r="B15" t="s">
        <v>6</v>
      </c>
      <c r="C15">
        <v>1.15576052100896</v>
      </c>
      <c r="D15">
        <v>0.197204193709436</v>
      </c>
      <c r="E15">
        <v>2</v>
      </c>
    </row>
    <row r="16" spans="1:5">
      <c r="A16" t="s">
        <v>17</v>
      </c>
      <c r="B16" t="s">
        <v>11</v>
      </c>
      <c r="C16">
        <v>0.285554082334543</v>
      </c>
      <c r="D16">
        <v>0.0375345180435444</v>
      </c>
      <c r="E16">
        <v>2</v>
      </c>
    </row>
    <row r="17" hidden="1" spans="1:4">
      <c r="A17" t="s">
        <v>17</v>
      </c>
      <c r="C17">
        <v>0</v>
      </c>
      <c r="D17">
        <v>0</v>
      </c>
    </row>
    <row r="18" spans="1:5">
      <c r="A18" t="s">
        <v>17</v>
      </c>
      <c r="B18" t="s">
        <v>8</v>
      </c>
      <c r="C18">
        <v>0</v>
      </c>
      <c r="D18">
        <v>0</v>
      </c>
      <c r="E18">
        <v>2</v>
      </c>
    </row>
    <row r="19" hidden="1" spans="1:4">
      <c r="A19" t="s">
        <v>17</v>
      </c>
      <c r="B19" t="s">
        <v>9</v>
      </c>
      <c r="C19">
        <v>0</v>
      </c>
      <c r="D19">
        <v>0</v>
      </c>
    </row>
    <row r="20" spans="1:5">
      <c r="A20" t="s">
        <v>17</v>
      </c>
      <c r="B20" t="s">
        <v>7</v>
      </c>
      <c r="C20">
        <v>0</v>
      </c>
      <c r="D20">
        <v>0</v>
      </c>
      <c r="E20">
        <v>2</v>
      </c>
    </row>
    <row r="21" spans="1:5">
      <c r="A21" t="s">
        <v>17</v>
      </c>
      <c r="B21" t="s">
        <v>14</v>
      </c>
      <c r="C21">
        <v>0</v>
      </c>
      <c r="D21">
        <v>0</v>
      </c>
      <c r="E21">
        <v>2</v>
      </c>
    </row>
    <row r="22" spans="1:5">
      <c r="A22" t="s">
        <v>17</v>
      </c>
      <c r="B22" t="s">
        <v>12</v>
      </c>
      <c r="C22">
        <v>0</v>
      </c>
      <c r="D22">
        <v>0</v>
      </c>
      <c r="E22">
        <v>2</v>
      </c>
    </row>
    <row r="23" spans="1:5">
      <c r="A23" t="s">
        <v>17</v>
      </c>
      <c r="B23" t="s">
        <v>15</v>
      </c>
      <c r="C23">
        <v>0</v>
      </c>
      <c r="D23">
        <v>0</v>
      </c>
      <c r="E23">
        <v>2</v>
      </c>
    </row>
    <row r="24" spans="1:5">
      <c r="A24" t="s">
        <v>17</v>
      </c>
      <c r="B24" t="s">
        <v>16</v>
      </c>
      <c r="C24">
        <v>0.903644965682681</v>
      </c>
      <c r="D24">
        <v>0</v>
      </c>
      <c r="E24">
        <v>2</v>
      </c>
    </row>
    <row r="25" spans="1:5">
      <c r="A25" t="s">
        <v>17</v>
      </c>
      <c r="B25" t="s">
        <v>10</v>
      </c>
      <c r="C25">
        <v>0.846954946796468</v>
      </c>
      <c r="D25">
        <v>0</v>
      </c>
      <c r="E25">
        <v>2</v>
      </c>
    </row>
    <row r="26" spans="1:5">
      <c r="A26" t="s">
        <v>18</v>
      </c>
      <c r="B26" t="s">
        <v>8</v>
      </c>
      <c r="C26">
        <v>0</v>
      </c>
      <c r="D26">
        <v>0</v>
      </c>
      <c r="E26" s="16">
        <v>3</v>
      </c>
    </row>
    <row r="27" spans="1:5">
      <c r="A27" t="s">
        <v>18</v>
      </c>
      <c r="B27" t="s">
        <v>11</v>
      </c>
      <c r="C27">
        <v>0.466149437953436</v>
      </c>
      <c r="D27">
        <v>0.240148540034813</v>
      </c>
      <c r="E27" s="16">
        <v>3</v>
      </c>
    </row>
    <row r="28" hidden="1" spans="1:4">
      <c r="A28" t="s">
        <v>18</v>
      </c>
      <c r="C28">
        <v>0</v>
      </c>
      <c r="D28">
        <v>0</v>
      </c>
    </row>
    <row r="29" spans="1:5">
      <c r="A29" t="s">
        <v>18</v>
      </c>
      <c r="B29" t="s">
        <v>7</v>
      </c>
      <c r="C29">
        <v>0</v>
      </c>
      <c r="D29">
        <v>0</v>
      </c>
      <c r="E29" s="16">
        <v>3</v>
      </c>
    </row>
    <row r="30" hidden="1" spans="1:4">
      <c r="A30" t="s">
        <v>18</v>
      </c>
      <c r="B30" t="s">
        <v>9</v>
      </c>
      <c r="C30">
        <v>0</v>
      </c>
      <c r="D30">
        <v>0</v>
      </c>
    </row>
    <row r="31" spans="1:5">
      <c r="A31" t="s">
        <v>18</v>
      </c>
      <c r="B31" t="s">
        <v>15</v>
      </c>
      <c r="C31">
        <v>0.684523265380748</v>
      </c>
      <c r="D31">
        <v>0</v>
      </c>
      <c r="E31" s="16">
        <v>3</v>
      </c>
    </row>
    <row r="32" spans="1:5">
      <c r="A32" t="s">
        <v>18</v>
      </c>
      <c r="B32" t="s">
        <v>14</v>
      </c>
      <c r="C32">
        <v>0</v>
      </c>
      <c r="D32">
        <v>1.15052083333333</v>
      </c>
      <c r="E32" s="16">
        <v>3</v>
      </c>
    </row>
    <row r="33" spans="1:5">
      <c r="A33" t="s">
        <v>18</v>
      </c>
      <c r="B33" t="s">
        <v>12</v>
      </c>
      <c r="C33">
        <v>0.446074455518843</v>
      </c>
      <c r="D33">
        <v>0</v>
      </c>
      <c r="E33" s="16">
        <v>3</v>
      </c>
    </row>
    <row r="34" spans="1:5">
      <c r="A34" t="s">
        <v>18</v>
      </c>
      <c r="B34" t="s">
        <v>13</v>
      </c>
      <c r="C34">
        <v>0.939219471833414</v>
      </c>
      <c r="D34">
        <v>0</v>
      </c>
      <c r="E34" s="16">
        <v>3</v>
      </c>
    </row>
    <row r="35" spans="1:5">
      <c r="A35" t="s">
        <v>18</v>
      </c>
      <c r="B35" t="s">
        <v>6</v>
      </c>
      <c r="C35">
        <v>0.627249607455583</v>
      </c>
      <c r="D35">
        <v>1.49111310704961</v>
      </c>
      <c r="E35" s="16">
        <v>3</v>
      </c>
    </row>
    <row r="36" spans="1:5">
      <c r="A36" t="s">
        <v>18</v>
      </c>
      <c r="B36" t="s">
        <v>10</v>
      </c>
      <c r="C36">
        <v>0</v>
      </c>
      <c r="D36">
        <v>0</v>
      </c>
      <c r="E36" s="16">
        <v>3</v>
      </c>
    </row>
    <row r="37" spans="1:5">
      <c r="A37" t="s">
        <v>18</v>
      </c>
      <c r="B37" t="s">
        <v>16</v>
      </c>
      <c r="C37">
        <v>2.43057701729921</v>
      </c>
      <c r="D37">
        <v>0</v>
      </c>
      <c r="E37" s="16">
        <v>3</v>
      </c>
    </row>
    <row r="38" spans="1:5">
      <c r="A38" t="s">
        <v>19</v>
      </c>
      <c r="B38" t="s">
        <v>7</v>
      </c>
      <c r="C38">
        <v>0</v>
      </c>
      <c r="D38">
        <v>0</v>
      </c>
      <c r="E38" s="16">
        <v>4</v>
      </c>
    </row>
    <row r="39" spans="1:5">
      <c r="A39" t="s">
        <v>19</v>
      </c>
      <c r="B39" t="s">
        <v>11</v>
      </c>
      <c r="C39">
        <v>0.368096718561987</v>
      </c>
      <c r="D39">
        <v>0.0755307573554188</v>
      </c>
      <c r="E39" s="16">
        <v>4</v>
      </c>
    </row>
    <row r="40" hidden="1" spans="1:4">
      <c r="A40" t="s">
        <v>19</v>
      </c>
      <c r="C40">
        <v>0</v>
      </c>
      <c r="D40">
        <v>0</v>
      </c>
    </row>
    <row r="41" spans="1:5">
      <c r="A41" t="s">
        <v>19</v>
      </c>
      <c r="B41" t="s">
        <v>8</v>
      </c>
      <c r="C41">
        <v>0</v>
      </c>
      <c r="D41">
        <v>0</v>
      </c>
      <c r="E41" s="16">
        <v>4</v>
      </c>
    </row>
    <row r="42" hidden="1" spans="1:4">
      <c r="A42" t="s">
        <v>19</v>
      </c>
      <c r="B42" t="s">
        <v>9</v>
      </c>
      <c r="C42">
        <v>0</v>
      </c>
      <c r="D42">
        <v>0</v>
      </c>
    </row>
    <row r="43" spans="1:5">
      <c r="A43" t="s">
        <v>19</v>
      </c>
      <c r="B43" t="s">
        <v>14</v>
      </c>
      <c r="C43">
        <v>0.966102605425732</v>
      </c>
      <c r="D43">
        <v>0</v>
      </c>
      <c r="E43" s="16">
        <v>4</v>
      </c>
    </row>
    <row r="44" spans="1:5">
      <c r="A44" t="s">
        <v>19</v>
      </c>
      <c r="B44" t="s">
        <v>12</v>
      </c>
      <c r="C44">
        <v>0.277682833545475</v>
      </c>
      <c r="D44">
        <v>0</v>
      </c>
      <c r="E44" s="16">
        <v>4</v>
      </c>
    </row>
    <row r="45" spans="1:5">
      <c r="A45" t="s">
        <v>19</v>
      </c>
      <c r="B45" t="s">
        <v>15</v>
      </c>
      <c r="C45">
        <v>0.289356380830804</v>
      </c>
      <c r="D45">
        <v>0.720634920634921</v>
      </c>
      <c r="E45" s="16">
        <v>4</v>
      </c>
    </row>
    <row r="46" spans="1:5">
      <c r="A46" t="s">
        <v>19</v>
      </c>
      <c r="B46" t="s">
        <v>16</v>
      </c>
      <c r="C46">
        <v>1.09883932042634</v>
      </c>
      <c r="D46">
        <v>0</v>
      </c>
      <c r="E46" s="16">
        <v>4</v>
      </c>
    </row>
    <row r="47" spans="1:5">
      <c r="A47" t="s">
        <v>19</v>
      </c>
      <c r="B47" t="s">
        <v>13</v>
      </c>
      <c r="C47">
        <v>1.06583461537496</v>
      </c>
      <c r="D47">
        <v>0</v>
      </c>
      <c r="E47" s="16">
        <v>4</v>
      </c>
    </row>
    <row r="48" spans="1:5">
      <c r="A48" t="s">
        <v>19</v>
      </c>
      <c r="B48" t="s">
        <v>10</v>
      </c>
      <c r="C48">
        <v>0</v>
      </c>
      <c r="D48">
        <v>0</v>
      </c>
      <c r="E48" s="16">
        <v>4</v>
      </c>
    </row>
    <row r="49" spans="1:5">
      <c r="A49" t="s">
        <v>19</v>
      </c>
      <c r="B49" t="s">
        <v>6</v>
      </c>
      <c r="C49">
        <v>0.351248148578541</v>
      </c>
      <c r="D49">
        <v>0.110203410274686</v>
      </c>
      <c r="E49" s="16">
        <v>4</v>
      </c>
    </row>
    <row r="50" spans="1:5">
      <c r="A50" t="s">
        <v>20</v>
      </c>
      <c r="B50" t="s">
        <v>11</v>
      </c>
      <c r="C50">
        <v>0.334625433064915</v>
      </c>
      <c r="D50">
        <v>0.00172623722940022</v>
      </c>
      <c r="E50">
        <v>5</v>
      </c>
    </row>
    <row r="51" hidden="1" spans="1:4">
      <c r="A51" t="s">
        <v>20</v>
      </c>
      <c r="C51">
        <v>0</v>
      </c>
      <c r="D51">
        <v>0</v>
      </c>
    </row>
    <row r="52" spans="1:5">
      <c r="A52" t="s">
        <v>20</v>
      </c>
      <c r="B52" t="s">
        <v>7</v>
      </c>
      <c r="C52">
        <v>0</v>
      </c>
      <c r="D52">
        <v>0</v>
      </c>
      <c r="E52">
        <v>5</v>
      </c>
    </row>
    <row r="53" spans="1:5">
      <c r="A53" t="s">
        <v>20</v>
      </c>
      <c r="B53" t="s">
        <v>8</v>
      </c>
      <c r="C53">
        <v>0</v>
      </c>
      <c r="D53">
        <v>0</v>
      </c>
      <c r="E53">
        <v>5</v>
      </c>
    </row>
    <row r="54" hidden="1" spans="1:4">
      <c r="A54" t="s">
        <v>20</v>
      </c>
      <c r="B54" t="s">
        <v>9</v>
      </c>
      <c r="C54">
        <v>0</v>
      </c>
      <c r="D54">
        <v>0</v>
      </c>
    </row>
    <row r="55" spans="1:5">
      <c r="A55" t="s">
        <v>20</v>
      </c>
      <c r="B55" t="s">
        <v>10</v>
      </c>
      <c r="C55">
        <v>0</v>
      </c>
      <c r="D55">
        <v>0</v>
      </c>
      <c r="E55">
        <v>5</v>
      </c>
    </row>
    <row r="56" spans="1:5">
      <c r="A56" t="s">
        <v>20</v>
      </c>
      <c r="B56" t="s">
        <v>14</v>
      </c>
      <c r="C56">
        <v>0</v>
      </c>
      <c r="D56">
        <v>0</v>
      </c>
      <c r="E56">
        <v>5</v>
      </c>
    </row>
    <row r="57" spans="1:5">
      <c r="A57" t="s">
        <v>20</v>
      </c>
      <c r="B57" t="s">
        <v>12</v>
      </c>
      <c r="C57">
        <v>1</v>
      </c>
      <c r="D57">
        <v>0</v>
      </c>
      <c r="E57">
        <v>5</v>
      </c>
    </row>
    <row r="58" spans="1:5">
      <c r="A58" t="s">
        <v>20</v>
      </c>
      <c r="B58" t="s">
        <v>15</v>
      </c>
      <c r="C58">
        <v>0.756947659707342</v>
      </c>
      <c r="D58">
        <v>0</v>
      </c>
      <c r="E58">
        <v>5</v>
      </c>
    </row>
    <row r="59" spans="1:5">
      <c r="A59" t="s">
        <v>20</v>
      </c>
      <c r="B59" t="s">
        <v>16</v>
      </c>
      <c r="C59">
        <v>1.18961591872533</v>
      </c>
      <c r="D59">
        <v>0</v>
      </c>
      <c r="E59">
        <v>5</v>
      </c>
    </row>
    <row r="60" spans="1:5">
      <c r="A60" t="s">
        <v>20</v>
      </c>
      <c r="B60" t="s">
        <v>13</v>
      </c>
      <c r="C60">
        <v>0.237406441846775</v>
      </c>
      <c r="D60">
        <v>0</v>
      </c>
      <c r="E60">
        <v>5</v>
      </c>
    </row>
    <row r="61" spans="1:5">
      <c r="A61" t="s">
        <v>20</v>
      </c>
      <c r="B61" t="s">
        <v>6</v>
      </c>
      <c r="C61">
        <v>0.496909743434618</v>
      </c>
      <c r="D61">
        <v>0.0189886095234024</v>
      </c>
      <c r="E61">
        <v>5</v>
      </c>
    </row>
    <row r="62" spans="1:5">
      <c r="A62" t="s">
        <v>21</v>
      </c>
      <c r="B62" t="s">
        <v>11</v>
      </c>
      <c r="C62">
        <v>0.105063317672749</v>
      </c>
      <c r="D62">
        <v>0.0197716297231162</v>
      </c>
      <c r="E62" s="16">
        <v>6</v>
      </c>
    </row>
    <row r="63" hidden="1" spans="1:4">
      <c r="A63" t="s">
        <v>21</v>
      </c>
      <c r="C63">
        <v>0</v>
      </c>
      <c r="D63">
        <v>0</v>
      </c>
    </row>
    <row r="64" spans="1:5">
      <c r="A64" t="s">
        <v>21</v>
      </c>
      <c r="B64" t="s">
        <v>7</v>
      </c>
      <c r="C64">
        <v>0</v>
      </c>
      <c r="D64">
        <v>0</v>
      </c>
      <c r="E64" s="16">
        <v>6</v>
      </c>
    </row>
    <row r="65" spans="1:5">
      <c r="A65" t="s">
        <v>21</v>
      </c>
      <c r="B65" t="s">
        <v>13</v>
      </c>
      <c r="C65">
        <v>0.766422495274102</v>
      </c>
      <c r="D65">
        <v>0</v>
      </c>
      <c r="E65" s="16">
        <v>6</v>
      </c>
    </row>
    <row r="66" hidden="1" spans="1:4">
      <c r="A66" t="s">
        <v>21</v>
      </c>
      <c r="B66" t="s">
        <v>9</v>
      </c>
      <c r="C66">
        <v>0</v>
      </c>
      <c r="D66">
        <v>0</v>
      </c>
    </row>
    <row r="67" spans="1:5">
      <c r="A67" t="s">
        <v>21</v>
      </c>
      <c r="B67" t="s">
        <v>10</v>
      </c>
      <c r="C67">
        <v>0</v>
      </c>
      <c r="D67">
        <v>0</v>
      </c>
      <c r="E67" s="16">
        <v>6</v>
      </c>
    </row>
    <row r="68" spans="1:5">
      <c r="A68" t="s">
        <v>21</v>
      </c>
      <c r="B68" t="s">
        <v>14</v>
      </c>
      <c r="C68">
        <v>0</v>
      </c>
      <c r="D68">
        <v>0</v>
      </c>
      <c r="E68" s="16">
        <v>6</v>
      </c>
    </row>
    <row r="69" spans="1:5">
      <c r="A69" t="s">
        <v>21</v>
      </c>
      <c r="B69" t="s">
        <v>12</v>
      </c>
      <c r="C69">
        <v>-1.30365348890265e-5</v>
      </c>
      <c r="D69">
        <v>0</v>
      </c>
      <c r="E69" s="16">
        <v>6</v>
      </c>
    </row>
    <row r="70" spans="1:5">
      <c r="A70" t="s">
        <v>21</v>
      </c>
      <c r="B70" t="s">
        <v>15</v>
      </c>
      <c r="C70">
        <v>0</v>
      </c>
      <c r="D70">
        <v>0.160525355709595</v>
      </c>
      <c r="E70" s="16">
        <v>6</v>
      </c>
    </row>
    <row r="71" spans="1:5">
      <c r="A71" t="s">
        <v>21</v>
      </c>
      <c r="B71" t="s">
        <v>16</v>
      </c>
      <c r="C71">
        <v>0</v>
      </c>
      <c r="D71">
        <v>0</v>
      </c>
      <c r="E71" s="16">
        <v>6</v>
      </c>
    </row>
    <row r="72" spans="1:5">
      <c r="A72" t="s">
        <v>21</v>
      </c>
      <c r="B72" t="s">
        <v>6</v>
      </c>
      <c r="C72">
        <v>0.389287035661028</v>
      </c>
      <c r="D72">
        <v>0.0569625712446836</v>
      </c>
      <c r="E72" s="16">
        <v>6</v>
      </c>
    </row>
    <row r="73" spans="1:5">
      <c r="A73" t="s">
        <v>21</v>
      </c>
      <c r="B73" t="s">
        <v>8</v>
      </c>
      <c r="C73">
        <v>0</v>
      </c>
      <c r="D73">
        <v>0</v>
      </c>
      <c r="E73" s="16">
        <v>6</v>
      </c>
    </row>
    <row r="74" spans="1:5">
      <c r="A74" t="s">
        <v>22</v>
      </c>
      <c r="B74" t="s">
        <v>11</v>
      </c>
      <c r="C74">
        <v>0.27002644124151</v>
      </c>
      <c r="D74">
        <v>0.0929150116175042</v>
      </c>
      <c r="E74" s="16">
        <v>7</v>
      </c>
    </row>
    <row r="75" hidden="1" spans="1:4">
      <c r="A75" t="s">
        <v>22</v>
      </c>
      <c r="C75">
        <v>0</v>
      </c>
      <c r="D75">
        <v>0</v>
      </c>
    </row>
    <row r="76" spans="1:5">
      <c r="A76" t="s">
        <v>22</v>
      </c>
      <c r="B76" t="s">
        <v>7</v>
      </c>
      <c r="C76">
        <v>0</v>
      </c>
      <c r="D76">
        <v>0</v>
      </c>
      <c r="E76" s="16">
        <v>7</v>
      </c>
    </row>
    <row r="77" hidden="1" spans="1:4">
      <c r="A77" t="s">
        <v>22</v>
      </c>
      <c r="B77" t="s">
        <v>9</v>
      </c>
      <c r="C77">
        <v>0</v>
      </c>
      <c r="D77">
        <v>0</v>
      </c>
    </row>
    <row r="78" spans="1:5">
      <c r="A78" t="s">
        <v>22</v>
      </c>
      <c r="B78" t="s">
        <v>6</v>
      </c>
      <c r="C78">
        <v>0.58501567021278</v>
      </c>
      <c r="D78">
        <v>0</v>
      </c>
      <c r="E78" s="16">
        <v>7</v>
      </c>
    </row>
    <row r="79" spans="1:5">
      <c r="A79" t="s">
        <v>22</v>
      </c>
      <c r="B79" t="s">
        <v>13</v>
      </c>
      <c r="C79">
        <v>0.619088098036307</v>
      </c>
      <c r="D79">
        <v>0</v>
      </c>
      <c r="E79" s="16">
        <v>7</v>
      </c>
    </row>
    <row r="80" spans="1:5">
      <c r="A80" t="s">
        <v>22</v>
      </c>
      <c r="B80" t="s">
        <v>16</v>
      </c>
      <c r="C80">
        <v>1.19752462743117</v>
      </c>
      <c r="D80">
        <v>0</v>
      </c>
      <c r="E80" s="16">
        <v>7</v>
      </c>
    </row>
    <row r="81" spans="1:5">
      <c r="A81" t="s">
        <v>22</v>
      </c>
      <c r="B81" t="s">
        <v>15</v>
      </c>
      <c r="C81">
        <v>0.0960518929707478</v>
      </c>
      <c r="D81">
        <v>0.505785983617215</v>
      </c>
      <c r="E81" s="16">
        <v>7</v>
      </c>
    </row>
    <row r="82" spans="1:5">
      <c r="A82" t="s">
        <v>22</v>
      </c>
      <c r="B82" t="s">
        <v>12</v>
      </c>
      <c r="C82">
        <v>0.472610565005606</v>
      </c>
      <c r="D82">
        <v>0</v>
      </c>
      <c r="E82" s="16">
        <v>7</v>
      </c>
    </row>
    <row r="83" spans="1:5">
      <c r="A83" t="s">
        <v>22</v>
      </c>
      <c r="B83" t="s">
        <v>8</v>
      </c>
      <c r="C83">
        <v>0</v>
      </c>
      <c r="D83">
        <v>0</v>
      </c>
      <c r="E83" s="16">
        <v>7</v>
      </c>
    </row>
    <row r="84" spans="1:5">
      <c r="A84" t="s">
        <v>22</v>
      </c>
      <c r="B84" t="s">
        <v>14</v>
      </c>
      <c r="C84">
        <v>0</v>
      </c>
      <c r="D84">
        <v>0.516279144175332</v>
      </c>
      <c r="E84" s="16">
        <v>7</v>
      </c>
    </row>
    <row r="85" spans="1:5">
      <c r="A85" t="s">
        <v>22</v>
      </c>
      <c r="B85" t="s">
        <v>10</v>
      </c>
      <c r="C85">
        <v>0</v>
      </c>
      <c r="D85">
        <v>0</v>
      </c>
      <c r="E85" s="16">
        <v>7</v>
      </c>
    </row>
    <row r="86" spans="1:5">
      <c r="A86" t="s">
        <v>23</v>
      </c>
      <c r="B86" t="s">
        <v>10</v>
      </c>
      <c r="C86">
        <v>0</v>
      </c>
      <c r="D86">
        <v>0</v>
      </c>
      <c r="E86" s="16">
        <v>8</v>
      </c>
    </row>
    <row r="87" spans="1:5">
      <c r="A87" t="s">
        <v>23</v>
      </c>
      <c r="B87" t="s">
        <v>11</v>
      </c>
      <c r="C87">
        <v>0.219264147706406</v>
      </c>
      <c r="D87">
        <v>0.141187742048659</v>
      </c>
      <c r="E87" s="16">
        <v>8</v>
      </c>
    </row>
    <row r="88" spans="1:5">
      <c r="A88" t="s">
        <v>23</v>
      </c>
      <c r="B88" t="s">
        <v>15</v>
      </c>
      <c r="C88">
        <v>0.479936079545454</v>
      </c>
      <c r="D88">
        <v>0</v>
      </c>
      <c r="E88" s="16">
        <v>8</v>
      </c>
    </row>
    <row r="89" spans="1:5">
      <c r="A89" t="s">
        <v>23</v>
      </c>
      <c r="B89" t="s">
        <v>16</v>
      </c>
      <c r="C89">
        <v>0</v>
      </c>
      <c r="D89">
        <v>0</v>
      </c>
      <c r="E89" s="16">
        <v>8</v>
      </c>
    </row>
    <row r="90" spans="1:5">
      <c r="A90" t="s">
        <v>23</v>
      </c>
      <c r="B90" t="s">
        <v>13</v>
      </c>
      <c r="C90">
        <v>0.541262577883539</v>
      </c>
      <c r="D90">
        <v>0</v>
      </c>
      <c r="E90" s="16">
        <v>8</v>
      </c>
    </row>
    <row r="91" spans="1:5">
      <c r="A91" t="s">
        <v>23</v>
      </c>
      <c r="B91" t="s">
        <v>6</v>
      </c>
      <c r="C91">
        <v>0.477503852080123</v>
      </c>
      <c r="D91">
        <v>0</v>
      </c>
      <c r="E91" s="16">
        <v>8</v>
      </c>
    </row>
    <row r="92" spans="1:5">
      <c r="A92" t="s">
        <v>23</v>
      </c>
      <c r="B92" t="s">
        <v>14</v>
      </c>
      <c r="C92">
        <v>0.372528562632551</v>
      </c>
      <c r="D92">
        <v>1.55306516253525</v>
      </c>
      <c r="E92" s="16">
        <v>8</v>
      </c>
    </row>
    <row r="93" spans="1:5">
      <c r="A93" t="s">
        <v>23</v>
      </c>
      <c r="B93" t="s">
        <v>12</v>
      </c>
      <c r="C93">
        <v>0.540674552628795</v>
      </c>
      <c r="D93">
        <v>0</v>
      </c>
      <c r="E93" s="16">
        <v>8</v>
      </c>
    </row>
    <row r="94" hidden="1" spans="1:4">
      <c r="A94" t="s">
        <v>23</v>
      </c>
      <c r="B94" t="s">
        <v>9</v>
      </c>
      <c r="C94">
        <v>0</v>
      </c>
      <c r="D94">
        <v>0</v>
      </c>
    </row>
    <row r="95" spans="1:5">
      <c r="A95" t="s">
        <v>23</v>
      </c>
      <c r="B95" t="s">
        <v>8</v>
      </c>
      <c r="C95">
        <v>0</v>
      </c>
      <c r="D95">
        <v>0</v>
      </c>
      <c r="E95" s="16">
        <v>8</v>
      </c>
    </row>
    <row r="96" spans="1:5">
      <c r="A96" t="s">
        <v>23</v>
      </c>
      <c r="B96" t="s">
        <v>7</v>
      </c>
      <c r="C96">
        <v>0</v>
      </c>
      <c r="D96">
        <v>0</v>
      </c>
      <c r="E96" s="16">
        <v>8</v>
      </c>
    </row>
    <row r="97" hidden="1" spans="1:4">
      <c r="A97" t="s">
        <v>23</v>
      </c>
      <c r="C97">
        <v>0</v>
      </c>
      <c r="D97">
        <v>0</v>
      </c>
    </row>
    <row r="98" spans="1:5">
      <c r="A98" t="s">
        <v>24</v>
      </c>
      <c r="B98" t="s">
        <v>12</v>
      </c>
      <c r="C98">
        <v>0.998548902002515</v>
      </c>
      <c r="D98">
        <v>0</v>
      </c>
      <c r="E98" s="16">
        <v>9</v>
      </c>
    </row>
    <row r="99" spans="1:5">
      <c r="A99" t="s">
        <v>24</v>
      </c>
      <c r="B99" t="s">
        <v>6</v>
      </c>
      <c r="C99">
        <v>0.172432592799243</v>
      </c>
      <c r="D99">
        <v>0</v>
      </c>
      <c r="E99" s="16">
        <v>9</v>
      </c>
    </row>
    <row r="100" spans="1:5">
      <c r="A100" t="s">
        <v>24</v>
      </c>
      <c r="B100" t="s">
        <v>13</v>
      </c>
      <c r="C100">
        <v>0.294720051888979</v>
      </c>
      <c r="D100">
        <v>0.00456950405299016</v>
      </c>
      <c r="E100" s="16">
        <v>9</v>
      </c>
    </row>
    <row r="101" spans="1:5">
      <c r="A101" t="s">
        <v>24</v>
      </c>
      <c r="B101" t="s">
        <v>15</v>
      </c>
      <c r="C101">
        <v>0.454382553273806</v>
      </c>
      <c r="D101">
        <v>0</v>
      </c>
      <c r="E101" s="16">
        <v>9</v>
      </c>
    </row>
    <row r="102" hidden="1" spans="1:4">
      <c r="A102" t="s">
        <v>24</v>
      </c>
      <c r="B102" t="s">
        <v>9</v>
      </c>
      <c r="C102">
        <v>0</v>
      </c>
      <c r="D102">
        <v>0</v>
      </c>
    </row>
    <row r="103" hidden="1" spans="1:4">
      <c r="A103" t="s">
        <v>24</v>
      </c>
      <c r="C103">
        <v>0</v>
      </c>
      <c r="D103">
        <v>0</v>
      </c>
    </row>
    <row r="104" spans="1:5">
      <c r="A104" t="s">
        <v>24</v>
      </c>
      <c r="B104" t="s">
        <v>7</v>
      </c>
      <c r="C104">
        <v>0</v>
      </c>
      <c r="D104">
        <v>0</v>
      </c>
      <c r="E104" s="16">
        <v>9</v>
      </c>
    </row>
    <row r="105" spans="1:5">
      <c r="A105" t="s">
        <v>24</v>
      </c>
      <c r="B105" t="s">
        <v>8</v>
      </c>
      <c r="C105">
        <v>0</v>
      </c>
      <c r="D105">
        <v>0</v>
      </c>
      <c r="E105" s="16">
        <v>9</v>
      </c>
    </row>
    <row r="106" spans="1:5">
      <c r="A106" t="s">
        <v>24</v>
      </c>
      <c r="B106" t="s">
        <v>16</v>
      </c>
      <c r="C106">
        <v>0</v>
      </c>
      <c r="D106">
        <v>0</v>
      </c>
      <c r="E106" s="16">
        <v>9</v>
      </c>
    </row>
    <row r="107" spans="1:5">
      <c r="A107" t="s">
        <v>24</v>
      </c>
      <c r="B107" t="s">
        <v>10</v>
      </c>
      <c r="C107">
        <v>0</v>
      </c>
      <c r="D107">
        <v>0</v>
      </c>
      <c r="E107" s="16">
        <v>9</v>
      </c>
    </row>
    <row r="108" spans="1:5">
      <c r="A108" t="s">
        <v>24</v>
      </c>
      <c r="B108" t="s">
        <v>14</v>
      </c>
      <c r="C108">
        <v>0.765470380389609</v>
      </c>
      <c r="D108">
        <v>0</v>
      </c>
      <c r="E108" s="16">
        <v>9</v>
      </c>
    </row>
    <row r="109" spans="1:5">
      <c r="A109" t="s">
        <v>24</v>
      </c>
      <c r="B109" t="s">
        <v>11</v>
      </c>
      <c r="C109">
        <v>0.244141316395832</v>
      </c>
      <c r="D109">
        <v>0.000415409459362742</v>
      </c>
      <c r="E109" s="16">
        <v>9</v>
      </c>
    </row>
    <row r="110" spans="1:5">
      <c r="A110" t="s">
        <v>25</v>
      </c>
      <c r="B110" t="s">
        <v>11</v>
      </c>
      <c r="C110">
        <v>0.484273634728332</v>
      </c>
      <c r="D110">
        <v>0.0605815556632671</v>
      </c>
      <c r="E110" s="16">
        <v>10</v>
      </c>
    </row>
    <row r="111" hidden="1" spans="1:4">
      <c r="A111" t="s">
        <v>25</v>
      </c>
      <c r="C111">
        <v>0</v>
      </c>
      <c r="D111">
        <v>0</v>
      </c>
    </row>
    <row r="112" spans="1:5">
      <c r="A112" t="s">
        <v>25</v>
      </c>
      <c r="B112" t="s">
        <v>6</v>
      </c>
      <c r="C112">
        <v>0.886750379948676</v>
      </c>
      <c r="D112">
        <v>0.0722563594317806</v>
      </c>
      <c r="E112" s="16">
        <v>10</v>
      </c>
    </row>
    <row r="113" spans="1:5">
      <c r="A113" t="s">
        <v>25</v>
      </c>
      <c r="B113" t="s">
        <v>13</v>
      </c>
      <c r="C113">
        <v>0.841798292237774</v>
      </c>
      <c r="D113">
        <v>0</v>
      </c>
      <c r="E113" s="16">
        <v>10</v>
      </c>
    </row>
    <row r="114" spans="1:5">
      <c r="A114" t="s">
        <v>25</v>
      </c>
      <c r="B114" t="s">
        <v>8</v>
      </c>
      <c r="C114">
        <v>0</v>
      </c>
      <c r="D114">
        <v>0</v>
      </c>
      <c r="E114" s="16">
        <v>10</v>
      </c>
    </row>
    <row r="115" spans="1:5">
      <c r="A115" t="s">
        <v>25</v>
      </c>
      <c r="B115" t="s">
        <v>16</v>
      </c>
      <c r="C115">
        <v>0.449078364625057</v>
      </c>
      <c r="D115">
        <v>0</v>
      </c>
      <c r="E115" s="16">
        <v>10</v>
      </c>
    </row>
    <row r="116" spans="1:5">
      <c r="A116" t="s">
        <v>25</v>
      </c>
      <c r="B116" t="s">
        <v>15</v>
      </c>
      <c r="C116">
        <v>0.793626210254749</v>
      </c>
      <c r="D116">
        <v>0.594140752864157</v>
      </c>
      <c r="E116" s="16">
        <v>10</v>
      </c>
    </row>
    <row r="117" spans="1:5">
      <c r="A117" t="s">
        <v>25</v>
      </c>
      <c r="B117" t="s">
        <v>12</v>
      </c>
      <c r="C117">
        <v>0</v>
      </c>
      <c r="D117">
        <v>0</v>
      </c>
      <c r="E117" s="16">
        <v>10</v>
      </c>
    </row>
    <row r="118" spans="1:5">
      <c r="A118" t="s">
        <v>25</v>
      </c>
      <c r="B118" t="s">
        <v>14</v>
      </c>
      <c r="C118">
        <v>1.04724130892381</v>
      </c>
      <c r="D118">
        <v>0</v>
      </c>
      <c r="E118" s="16">
        <v>10</v>
      </c>
    </row>
    <row r="119" spans="1:5">
      <c r="A119" t="s">
        <v>25</v>
      </c>
      <c r="B119" t="s">
        <v>10</v>
      </c>
      <c r="C119">
        <v>1.30851542602158</v>
      </c>
      <c r="D119">
        <v>0</v>
      </c>
      <c r="E119" s="16">
        <v>10</v>
      </c>
    </row>
    <row r="120" hidden="1" spans="1:5">
      <c r="A120" t="s">
        <v>25</v>
      </c>
      <c r="B120" t="s">
        <v>9</v>
      </c>
      <c r="C120">
        <v>0</v>
      </c>
      <c r="D120">
        <v>0</v>
      </c>
      <c r="E120">
        <v>10</v>
      </c>
    </row>
    <row r="121" spans="1:5">
      <c r="A121" t="s">
        <v>25</v>
      </c>
      <c r="B121" t="s">
        <v>7</v>
      </c>
      <c r="C121">
        <v>0</v>
      </c>
      <c r="D121">
        <v>0</v>
      </c>
      <c r="E121" s="16">
        <v>10</v>
      </c>
    </row>
    <row r="122" spans="1:5">
      <c r="A122" t="s">
        <v>26</v>
      </c>
      <c r="B122" t="s">
        <v>6</v>
      </c>
      <c r="C122">
        <v>0.621000694722617</v>
      </c>
      <c r="D122">
        <v>0</v>
      </c>
      <c r="E122" s="16">
        <v>11</v>
      </c>
    </row>
    <row r="123" spans="1:5">
      <c r="A123" t="s">
        <v>26</v>
      </c>
      <c r="B123" t="s">
        <v>11</v>
      </c>
      <c r="C123">
        <v>0.191771975156696</v>
      </c>
      <c r="D123">
        <v>0.0159619658166437</v>
      </c>
      <c r="E123" s="16">
        <v>11</v>
      </c>
    </row>
    <row r="124" spans="1:5">
      <c r="A124" t="s">
        <v>26</v>
      </c>
      <c r="B124" t="s">
        <v>15</v>
      </c>
      <c r="C124">
        <v>0</v>
      </c>
      <c r="D124">
        <v>0.175585046914848</v>
      </c>
      <c r="E124" s="16">
        <v>11</v>
      </c>
    </row>
    <row r="125" spans="1:5">
      <c r="A125" t="s">
        <v>26</v>
      </c>
      <c r="B125" t="s">
        <v>7</v>
      </c>
      <c r="C125">
        <v>0</v>
      </c>
      <c r="D125">
        <v>0</v>
      </c>
      <c r="E125" s="16">
        <v>11</v>
      </c>
    </row>
    <row r="126" spans="1:5">
      <c r="A126" t="s">
        <v>26</v>
      </c>
      <c r="B126" t="s">
        <v>13</v>
      </c>
      <c r="C126">
        <v>0.17861854419187</v>
      </c>
      <c r="D126">
        <v>0.003</v>
      </c>
      <c r="E126" s="16">
        <v>11</v>
      </c>
    </row>
    <row r="127" spans="1:5">
      <c r="A127" t="s">
        <v>26</v>
      </c>
      <c r="B127" t="s">
        <v>16</v>
      </c>
      <c r="C127">
        <v>0</v>
      </c>
      <c r="D127">
        <v>0</v>
      </c>
      <c r="E127" s="16">
        <v>11</v>
      </c>
    </row>
    <row r="128" spans="1:5">
      <c r="A128" t="s">
        <v>26</v>
      </c>
      <c r="B128" t="s">
        <v>12</v>
      </c>
      <c r="C128">
        <v>0</v>
      </c>
      <c r="D128">
        <v>0</v>
      </c>
      <c r="E128" s="16">
        <v>11</v>
      </c>
    </row>
    <row r="129" spans="1:5">
      <c r="A129" t="s">
        <v>26</v>
      </c>
      <c r="B129" t="s">
        <v>14</v>
      </c>
      <c r="C129">
        <v>0.836237062138569</v>
      </c>
      <c r="D129">
        <v>0</v>
      </c>
      <c r="E129" s="16">
        <v>11</v>
      </c>
    </row>
    <row r="130" spans="1:5">
      <c r="A130" t="s">
        <v>26</v>
      </c>
      <c r="B130" t="s">
        <v>10</v>
      </c>
      <c r="C130">
        <v>0.473635425670599</v>
      </c>
      <c r="D130">
        <v>0</v>
      </c>
      <c r="E130" s="16">
        <v>11</v>
      </c>
    </row>
    <row r="131" hidden="1" spans="1:5">
      <c r="A131" t="s">
        <v>26</v>
      </c>
      <c r="B131" t="s">
        <v>9</v>
      </c>
      <c r="C131">
        <v>0</v>
      </c>
      <c r="D131">
        <v>0</v>
      </c>
      <c r="E131">
        <v>11</v>
      </c>
    </row>
    <row r="132" spans="1:5">
      <c r="A132" t="s">
        <v>26</v>
      </c>
      <c r="B132" t="s">
        <v>8</v>
      </c>
      <c r="C132">
        <v>0</v>
      </c>
      <c r="D132">
        <v>0</v>
      </c>
      <c r="E132" s="16">
        <v>11</v>
      </c>
    </row>
    <row r="133" hidden="1" spans="1:5">
      <c r="A133" t="s">
        <v>26</v>
      </c>
      <c r="C133">
        <v>0</v>
      </c>
      <c r="D133">
        <v>0</v>
      </c>
      <c r="E133">
        <v>11</v>
      </c>
    </row>
    <row r="134" spans="1:5">
      <c r="A134" t="s">
        <v>27</v>
      </c>
      <c r="B134" t="s">
        <v>11</v>
      </c>
      <c r="C134">
        <v>0.314688993625791</v>
      </c>
      <c r="D134">
        <v>0.362301974771054</v>
      </c>
      <c r="E134" s="16">
        <v>12</v>
      </c>
    </row>
    <row r="135" spans="1:5">
      <c r="A135" t="s">
        <v>27</v>
      </c>
      <c r="B135" t="s">
        <v>16</v>
      </c>
      <c r="C135">
        <v>0</v>
      </c>
      <c r="D135">
        <v>0</v>
      </c>
      <c r="E135" s="16">
        <v>12</v>
      </c>
    </row>
    <row r="136" hidden="1" spans="1:5">
      <c r="A136" t="s">
        <v>27</v>
      </c>
      <c r="C136">
        <v>0</v>
      </c>
      <c r="D136">
        <v>0</v>
      </c>
      <c r="E136" s="16">
        <v>12</v>
      </c>
    </row>
    <row r="137" spans="1:5">
      <c r="A137" t="s">
        <v>27</v>
      </c>
      <c r="B137" t="s">
        <v>7</v>
      </c>
      <c r="C137">
        <v>0</v>
      </c>
      <c r="D137">
        <v>0</v>
      </c>
      <c r="E137" s="16">
        <v>12</v>
      </c>
    </row>
    <row r="138" spans="1:5">
      <c r="A138" t="s">
        <v>27</v>
      </c>
      <c r="B138" t="s">
        <v>8</v>
      </c>
      <c r="C138">
        <v>1.11118182187386</v>
      </c>
      <c r="D138">
        <v>0</v>
      </c>
      <c r="E138" s="16">
        <v>12</v>
      </c>
    </row>
    <row r="139" hidden="1" spans="1:5">
      <c r="A139" t="s">
        <v>27</v>
      </c>
      <c r="B139" t="s">
        <v>9</v>
      </c>
      <c r="C139">
        <v>0</v>
      </c>
      <c r="D139">
        <v>0</v>
      </c>
      <c r="E139" s="16">
        <v>12</v>
      </c>
    </row>
    <row r="140" spans="1:5">
      <c r="A140" t="s">
        <v>27</v>
      </c>
      <c r="B140" t="s">
        <v>10</v>
      </c>
      <c r="C140">
        <v>0.274011664355054</v>
      </c>
      <c r="D140">
        <v>0.87405466796662</v>
      </c>
      <c r="E140" s="16">
        <v>12</v>
      </c>
    </row>
    <row r="141" spans="1:5">
      <c r="A141" t="s">
        <v>27</v>
      </c>
      <c r="B141" t="s">
        <v>6</v>
      </c>
      <c r="C141">
        <v>0.32406316285647</v>
      </c>
      <c r="D141">
        <v>0.484858555227849</v>
      </c>
      <c r="E141" s="16">
        <v>12</v>
      </c>
    </row>
    <row r="142" spans="1:5">
      <c r="A142" t="s">
        <v>27</v>
      </c>
      <c r="B142" t="s">
        <v>12</v>
      </c>
      <c r="C142">
        <v>0</v>
      </c>
      <c r="D142">
        <v>0</v>
      </c>
      <c r="E142" s="16">
        <v>12</v>
      </c>
    </row>
    <row r="143" spans="1:5">
      <c r="A143" t="s">
        <v>27</v>
      </c>
      <c r="B143" t="s">
        <v>15</v>
      </c>
      <c r="C143">
        <v>0.600123828055899</v>
      </c>
      <c r="D143">
        <v>0</v>
      </c>
      <c r="E143" s="16">
        <v>12</v>
      </c>
    </row>
    <row r="144" spans="1:5">
      <c r="A144" t="s">
        <v>27</v>
      </c>
      <c r="B144" t="s">
        <v>13</v>
      </c>
      <c r="C144">
        <v>0.791061481597168</v>
      </c>
      <c r="D144">
        <v>0</v>
      </c>
      <c r="E144" s="16">
        <v>12</v>
      </c>
    </row>
    <row r="145" spans="1:5">
      <c r="A145" t="s">
        <v>27</v>
      </c>
      <c r="B145" t="s">
        <v>14</v>
      </c>
      <c r="C145">
        <v>0.361136971145256</v>
      </c>
      <c r="D145">
        <v>0.626408499287127</v>
      </c>
      <c r="E145" s="16">
        <v>12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F28"/>
  <sheetViews>
    <sheetView showGridLines="0" zoomScale="85" zoomScaleNormal="85" workbookViewId="0">
      <selection activeCell="I2" sqref="I2"/>
    </sheetView>
  </sheetViews>
  <sheetFormatPr defaultColWidth="9.14285714285714" defaultRowHeight="15" outlineLevelCol="5"/>
  <cols>
    <col min="1" max="1" width="3.85714285714286" customWidth="1"/>
    <col min="2" max="2" width="1.41904761904762" customWidth="1"/>
    <col min="3" max="3" width="23.2857142857143" style="14" hidden="1" customWidth="1"/>
    <col min="4" max="4" width="23.2857142857143"/>
    <col min="5" max="6" width="31.8571428571429"/>
    <col min="7" max="78" width="21.5714285714286"/>
    <col min="79" max="79" width="12.5714285714286"/>
  </cols>
  <sheetData>
    <row r="2" ht="269" customHeight="1"/>
    <row r="3" spans="3:6">
      <c r="C3" s="15" t="s">
        <v>4</v>
      </c>
      <c r="D3" t="s">
        <v>0</v>
      </c>
      <c r="E3" t="s">
        <v>28</v>
      </c>
      <c r="F3" t="s">
        <v>29</v>
      </c>
    </row>
    <row r="4" spans="3:6">
      <c r="C4" s="15">
        <v>1</v>
      </c>
      <c r="D4" s="15"/>
      <c r="E4">
        <v>0.479084656257901</v>
      </c>
      <c r="F4">
        <v>0.0774823492803048</v>
      </c>
    </row>
    <row r="5" spans="3:6">
      <c r="C5"/>
      <c r="D5" t="s">
        <v>5</v>
      </c>
      <c r="E5">
        <v>0.479084656257901</v>
      </c>
      <c r="F5">
        <v>0.0774823492803048</v>
      </c>
    </row>
    <row r="6" spans="3:6">
      <c r="C6" s="15">
        <v>2</v>
      </c>
      <c r="D6" s="15"/>
      <c r="E6">
        <v>0.342664898801452</v>
      </c>
      <c r="F6">
        <v>0.0450414216522533</v>
      </c>
    </row>
    <row r="7" spans="3:6">
      <c r="C7"/>
      <c r="D7" t="s">
        <v>17</v>
      </c>
      <c r="E7">
        <v>0.342664898801452</v>
      </c>
      <c r="F7">
        <v>0.0450414216522533</v>
      </c>
    </row>
    <row r="8" spans="3:6">
      <c r="C8" s="15">
        <v>3</v>
      </c>
      <c r="D8" s="15"/>
      <c r="E8">
        <v>0.559379325544123</v>
      </c>
      <c r="F8">
        <v>0.288178248041775</v>
      </c>
    </row>
    <row r="9" spans="3:6">
      <c r="C9"/>
      <c r="D9" t="s">
        <v>18</v>
      </c>
      <c r="E9">
        <v>0.559379325544123</v>
      </c>
      <c r="F9">
        <v>0.288178248041775</v>
      </c>
    </row>
    <row r="10" spans="3:6">
      <c r="C10" s="15">
        <v>4</v>
      </c>
      <c r="D10" s="15"/>
      <c r="E10">
        <v>0.441716062274384</v>
      </c>
      <c r="F10">
        <v>0.0906369088265026</v>
      </c>
    </row>
    <row r="11" spans="3:6">
      <c r="C11"/>
      <c r="D11" t="s">
        <v>19</v>
      </c>
      <c r="E11">
        <v>0.441716062274384</v>
      </c>
      <c r="F11">
        <v>0.0906369088265026</v>
      </c>
    </row>
    <row r="12" spans="3:6">
      <c r="C12" s="15">
        <v>5</v>
      </c>
      <c r="D12" s="15"/>
      <c r="E12">
        <v>0.401550519677898</v>
      </c>
      <c r="F12">
        <v>0.00207148467528026</v>
      </c>
    </row>
    <row r="13" spans="3:6">
      <c r="C13"/>
      <c r="D13" t="s">
        <v>20</v>
      </c>
      <c r="E13">
        <v>0.401550519677898</v>
      </c>
      <c r="F13">
        <v>0.00207148467528026</v>
      </c>
    </row>
    <row r="14" spans="3:6">
      <c r="C14" s="15">
        <v>6</v>
      </c>
      <c r="D14" s="15"/>
      <c r="E14">
        <v>0.126075981207299</v>
      </c>
      <c r="F14">
        <v>0.0237259556677395</v>
      </c>
    </row>
    <row r="15" spans="3:6">
      <c r="C15"/>
      <c r="D15" t="s">
        <v>21</v>
      </c>
      <c r="E15">
        <v>0.126075981207299</v>
      </c>
      <c r="F15">
        <v>0.0237259556677395</v>
      </c>
    </row>
    <row r="16" spans="3:6">
      <c r="C16" s="15">
        <v>7</v>
      </c>
      <c r="D16" s="15"/>
      <c r="E16">
        <v>0.324031729489812</v>
      </c>
      <c r="F16">
        <v>0.111498013941005</v>
      </c>
    </row>
    <row r="17" spans="3:6">
      <c r="C17"/>
      <c r="D17" t="s">
        <v>22</v>
      </c>
      <c r="E17">
        <v>0.324031729489812</v>
      </c>
      <c r="F17">
        <v>0.111498013941005</v>
      </c>
    </row>
    <row r="18" spans="3:6">
      <c r="C18" s="15">
        <v>8</v>
      </c>
      <c r="D18" s="15"/>
      <c r="E18">
        <v>0.263116977247687</v>
      </c>
      <c r="F18">
        <v>0.169425290458391</v>
      </c>
    </row>
    <row r="19" spans="3:6">
      <c r="C19"/>
      <c r="D19" t="s">
        <v>23</v>
      </c>
      <c r="E19">
        <v>0.263116977247687</v>
      </c>
      <c r="F19">
        <v>0.169425290458391</v>
      </c>
    </row>
    <row r="20" spans="3:6">
      <c r="C20" s="15">
        <v>9</v>
      </c>
      <c r="D20" s="15"/>
      <c r="E20">
        <v>0.292969579674998</v>
      </c>
      <c r="F20">
        <v>0.00049849135123529</v>
      </c>
    </row>
    <row r="21" spans="3:6">
      <c r="C21"/>
      <c r="D21" t="s">
        <v>24</v>
      </c>
      <c r="E21">
        <v>0.292969579674998</v>
      </c>
      <c r="F21">
        <v>0.00049849135123529</v>
      </c>
    </row>
    <row r="22" spans="3:6">
      <c r="C22" s="15">
        <v>10</v>
      </c>
      <c r="D22" s="15"/>
      <c r="E22">
        <v>0.528298510612725</v>
      </c>
      <c r="F22">
        <v>0.0660889698144732</v>
      </c>
    </row>
    <row r="23" spans="3:6">
      <c r="C23"/>
      <c r="D23" t="s">
        <v>25</v>
      </c>
      <c r="E23">
        <v>0.528298510612725</v>
      </c>
      <c r="F23">
        <v>0.0660889698144732</v>
      </c>
    </row>
    <row r="24" spans="3:6">
      <c r="C24" s="15">
        <v>11</v>
      </c>
      <c r="D24" s="15"/>
      <c r="E24">
        <v>0.191771975156696</v>
      </c>
      <c r="F24">
        <v>0.0162122510609576</v>
      </c>
    </row>
    <row r="25" spans="3:6">
      <c r="C25"/>
      <c r="D25" t="s">
        <v>26</v>
      </c>
      <c r="E25">
        <v>0.191771975156696</v>
      </c>
      <c r="F25">
        <v>0.0162122510609576</v>
      </c>
    </row>
    <row r="26" spans="3:6">
      <c r="C26" s="15">
        <v>12</v>
      </c>
      <c r="D26" s="15"/>
      <c r="E26">
        <v>0.314688993625791</v>
      </c>
      <c r="F26">
        <v>0.195635308104387</v>
      </c>
    </row>
    <row r="27" spans="3:6">
      <c r="C27"/>
      <c r="D27" t="s">
        <v>27</v>
      </c>
      <c r="E27">
        <v>0.314688993625791</v>
      </c>
      <c r="F27">
        <v>0.195635308104387</v>
      </c>
    </row>
    <row r="28" spans="3:6">
      <c r="C28" s="15" t="s">
        <v>30</v>
      </c>
      <c r="E28">
        <v>0.353557700351083</v>
      </c>
      <c r="F28">
        <v>0.0908378481351057</v>
      </c>
    </row>
  </sheetData>
  <pageMargins left="0.75" right="0.75" top="1" bottom="1" header="0.5" footer="0.5"/>
  <pageSetup paperSize="9" orientation="portrait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"/>
  <sheetViews>
    <sheetView showGridLines="0" zoomScale="85" zoomScaleNormal="85" workbookViewId="0">
      <selection activeCell="D9" sqref="D9"/>
    </sheetView>
  </sheetViews>
  <sheetFormatPr defaultColWidth="9.14285714285714" defaultRowHeight="15"/>
  <cols>
    <col min="1" max="1" width="33.5714285714286"/>
    <col min="2" max="2" width="12.1047619047619" customWidth="1"/>
    <col min="3" max="3" width="12.7619047619048" customWidth="1"/>
    <col min="4" max="4" width="10.5809523809524" customWidth="1"/>
    <col min="5" max="5" width="12.1047619047619" customWidth="1"/>
    <col min="6" max="6" width="10.0761904761905" customWidth="1"/>
    <col min="7" max="7" width="11.5904761904762" customWidth="1"/>
    <col min="8" max="8" width="11.4190476190476" customWidth="1"/>
    <col min="9" max="9" width="11.9238095238095" customWidth="1"/>
    <col min="10" max="10" width="13.6190476190476" customWidth="1"/>
    <col min="11" max="11" width="13.1047619047619" customWidth="1"/>
    <col min="12" max="12" width="12.2666666666667" customWidth="1"/>
    <col min="13" max="13" width="13.9428571428571" customWidth="1"/>
    <col min="14" max="14" width="18.152380952381" customWidth="1"/>
    <col min="15" max="15" width="5.38095238095238" customWidth="1"/>
    <col min="16" max="16" width="8.73333333333333" customWidth="1"/>
    <col min="17" max="23" width="23.1428571428571"/>
    <col min="24" max="24" width="22"/>
    <col min="25" max="30" width="33.5714285714286"/>
    <col min="31" max="31" width="20.4285714285714"/>
    <col min="32" max="40" width="33.5714285714286"/>
    <col min="41" max="41" width="17.4285714285714"/>
    <col min="42" max="50" width="33.5714285714286"/>
    <col min="51" max="51" width="17.4285714285714"/>
    <col min="52" max="60" width="33.5714285714286"/>
    <col min="61" max="61" width="16"/>
    <col min="62" max="70" width="33.5714285714286"/>
    <col min="71" max="71" width="16.8571428571429"/>
    <col min="72" max="80" width="33.5714285714286"/>
    <col min="81" max="81" width="19.2857142857143"/>
    <col min="82" max="90" width="33.5714285714286"/>
    <col min="91" max="91" width="20.1428571428571"/>
    <col min="92" max="100" width="33.5714285714286"/>
    <col min="101" max="101" width="21.2857142857143"/>
    <col min="102" max="110" width="33.5714285714286"/>
    <col min="111" max="111" width="20.5714285714286"/>
    <col min="112" max="120" width="33.5714285714286"/>
    <col min="121" max="121" width="19"/>
    <col min="122" max="122" width="22"/>
    <col min="123" max="123" width="39.4285714285714"/>
    <col min="124" max="124" width="35.5238095238095"/>
    <col min="125" max="125" width="40"/>
    <col min="126" max="126" width="33.6666666666667"/>
    <col min="127" max="127" width="38.1428571428571"/>
    <col min="128" max="128" width="35.3809523809524"/>
    <col min="129" max="129" width="39.8571428571429"/>
    <col min="130" max="130" width="29.6666666666667"/>
    <col min="131" max="131" width="34.1428571428571"/>
    <col min="132" max="132" width="31.0952380952381"/>
    <col min="133" max="133" width="35.5714285714286"/>
    <col min="134" max="134" width="32.5238095238095"/>
    <col min="135" max="135" width="37"/>
    <col min="136" max="136" width="29.952380952381"/>
    <col min="137" max="137" width="34.4285714285714"/>
    <col min="138" max="138" width="33.9523809523809"/>
    <col min="139" max="139" width="38.4285714285714"/>
    <col min="140" max="140" width="34.9523809523809"/>
    <col min="141" max="141" width="39.4285714285714"/>
    <col min="142" max="142" width="35.5238095238095"/>
    <col min="143" max="143" width="40"/>
    <col min="144" max="144" width="33.6666666666667"/>
    <col min="145" max="145" width="38.1428571428571"/>
    <col min="146" max="146" width="35.3809523809524"/>
    <col min="147" max="147" width="39.8571428571429"/>
    <col min="148" max="148" width="29.6666666666667"/>
    <col min="149" max="149" width="34.1428571428571"/>
    <col min="150" max="150" width="31.0952380952381"/>
    <col min="151" max="151" width="35.5714285714286"/>
    <col min="152" max="152" width="32.5238095238095"/>
    <col min="153" max="153" width="37"/>
    <col min="154" max="154" width="29.952380952381"/>
    <col min="155" max="155" width="34.4285714285714"/>
    <col min="156" max="156" width="33.9523809523809"/>
    <col min="157" max="157" width="38.4285714285714"/>
    <col min="158" max="158" width="34.9523809523809"/>
    <col min="159" max="159" width="39.4285714285714"/>
    <col min="160" max="160" width="35.5238095238095"/>
    <col min="161" max="161" width="40"/>
    <col min="162" max="162" width="33.6666666666667"/>
    <col min="163" max="163" width="38.1428571428571"/>
    <col min="164" max="164" width="35.3809523809524"/>
    <col min="165" max="165" width="39.8571428571429"/>
    <col min="166" max="166" width="29.6666666666667"/>
    <col min="167" max="167" width="34.1428571428571"/>
    <col min="168" max="168" width="31.0952380952381"/>
    <col min="169" max="169" width="35.5714285714286"/>
    <col min="170" max="170" width="32.5238095238095"/>
    <col min="171" max="171" width="37"/>
    <col min="172" max="172" width="29.952380952381"/>
    <col min="173" max="173" width="34.4285714285714"/>
    <col min="174" max="174" width="33.9523809523809"/>
    <col min="175" max="175" width="38.4285714285714"/>
    <col min="176" max="176" width="34.9523809523809"/>
    <col min="177" max="177" width="39.4285714285714"/>
    <col min="178" max="178" width="35.5238095238095"/>
    <col min="179" max="179" width="40"/>
    <col min="180" max="180" width="33.6666666666667"/>
    <col min="181" max="181" width="38.1428571428571"/>
    <col min="182" max="182" width="35.3809523809524"/>
    <col min="183" max="183" width="39.8571428571429"/>
    <col min="184" max="184" width="29.6666666666667"/>
    <col min="185" max="185" width="34.1428571428571"/>
    <col min="186" max="186" width="31.0952380952381"/>
    <col min="187" max="187" width="35.5714285714286"/>
    <col min="188" max="188" width="32.5238095238095"/>
    <col min="189" max="189" width="37"/>
    <col min="190" max="190" width="29.952380952381"/>
    <col min="191" max="191" width="34.4285714285714"/>
    <col min="192" max="192" width="33.9523809523809"/>
    <col min="193" max="193" width="38.4285714285714"/>
    <col min="194" max="194" width="34.9523809523809"/>
    <col min="195" max="195" width="39.4285714285714"/>
    <col min="196" max="196" width="35.5238095238095"/>
    <col min="197" max="197" width="40"/>
    <col min="198" max="198" width="33.6666666666667"/>
    <col min="199" max="199" width="38.1428571428571"/>
    <col min="200" max="200" width="35.3809523809524"/>
    <col min="201" max="201" width="39.8571428571429"/>
    <col min="202" max="202" width="29.6666666666667"/>
    <col min="203" max="203" width="34.1428571428571"/>
    <col min="204" max="204" width="31.0952380952381"/>
    <col min="205" max="205" width="35.5714285714286"/>
    <col min="206" max="206" width="32.5238095238095"/>
    <col min="207" max="207" width="37"/>
    <col min="208" max="208" width="29.952380952381"/>
    <col min="209" max="209" width="34.4285714285714"/>
    <col min="210" max="210" width="33.9523809523809"/>
    <col min="211" max="211" width="38.4285714285714"/>
    <col min="212" max="212" width="34.9523809523809"/>
    <col min="213" max="213" width="39.4285714285714"/>
    <col min="214" max="214" width="35.5238095238095"/>
    <col min="215" max="215" width="40"/>
    <col min="216" max="216" width="33.6666666666667"/>
    <col min="217" max="217" width="38.1428571428571"/>
    <col min="218" max="218" width="22"/>
  </cols>
  <sheetData>
    <row r="1" ht="25.5" spans="1:1">
      <c r="A1" s="11" t="s">
        <v>31</v>
      </c>
    </row>
    <row r="2" spans="14:14">
      <c r="N2" t="s">
        <v>32</v>
      </c>
    </row>
    <row r="3" hidden="1" spans="1:3">
      <c r="A3" t="s">
        <v>33</v>
      </c>
      <c r="B3" t="s">
        <v>4</v>
      </c>
      <c r="C3" t="s">
        <v>0</v>
      </c>
    </row>
    <row r="4" hidden="1" spans="2:14"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 t="s">
        <v>32</v>
      </c>
    </row>
    <row r="5" spans="1:16">
      <c r="A5" t="s">
        <v>1</v>
      </c>
      <c r="B5" t="s">
        <v>5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P5" t="s">
        <v>34</v>
      </c>
    </row>
    <row r="6" ht="25" customHeight="1" spans="1:16">
      <c r="A6" t="s">
        <v>6</v>
      </c>
      <c r="B6">
        <v>0.556235833953774</v>
      </c>
      <c r="C6">
        <v>1.15576052100896</v>
      </c>
      <c r="D6">
        <v>0.627249607455583</v>
      </c>
      <c r="E6">
        <v>0.351248148578541</v>
      </c>
      <c r="F6">
        <v>0.496909743434618</v>
      </c>
      <c r="G6">
        <v>0.389287035661028</v>
      </c>
      <c r="H6">
        <v>0.58501567021278</v>
      </c>
      <c r="I6">
        <v>0.477503852080123</v>
      </c>
      <c r="J6">
        <v>0.172432592799243</v>
      </c>
      <c r="K6">
        <v>0.886750379948676</v>
      </c>
      <c r="L6">
        <v>0.621000694722617</v>
      </c>
      <c r="M6">
        <v>0.32406316285647</v>
      </c>
      <c r="N6">
        <v>6.64345724271241</v>
      </c>
      <c r="P6">
        <v>0</v>
      </c>
    </row>
    <row r="7" ht="27" customHeight="1" spans="1:16">
      <c r="A7" t="s">
        <v>12</v>
      </c>
      <c r="B7">
        <v>0.270065783585392</v>
      </c>
      <c r="C7">
        <v>0</v>
      </c>
      <c r="D7">
        <v>0.446074455518843</v>
      </c>
      <c r="E7">
        <v>0.277682833545475</v>
      </c>
      <c r="F7">
        <v>1</v>
      </c>
      <c r="G7">
        <v>-1.30365348890265e-5</v>
      </c>
      <c r="H7">
        <v>0.472610565005606</v>
      </c>
      <c r="I7">
        <v>0.540674552628795</v>
      </c>
      <c r="J7">
        <v>0.998548902002515</v>
      </c>
      <c r="K7">
        <v>0</v>
      </c>
      <c r="L7">
        <v>0</v>
      </c>
      <c r="M7">
        <v>0</v>
      </c>
      <c r="N7">
        <v>4.00564405575174</v>
      </c>
      <c r="P7">
        <v>0.5</v>
      </c>
    </row>
    <row r="8" ht="27" customHeight="1" spans="1:16">
      <c r="A8" t="s">
        <v>10</v>
      </c>
      <c r="B8">
        <v>1.26597879048438</v>
      </c>
      <c r="C8">
        <v>0.846954946796468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1.30851542602158</v>
      </c>
      <c r="L8">
        <v>0.473635425670599</v>
      </c>
      <c r="M8">
        <v>0.274011664355054</v>
      </c>
      <c r="N8">
        <v>4.16909625332808</v>
      </c>
      <c r="P8">
        <v>1</v>
      </c>
    </row>
    <row r="9" ht="27" customHeight="1" spans="1:16">
      <c r="A9" t="s">
        <v>16</v>
      </c>
      <c r="B9">
        <v>0.687923419130346</v>
      </c>
      <c r="C9">
        <v>0.903644965682681</v>
      </c>
      <c r="D9">
        <v>2.43057701729921</v>
      </c>
      <c r="E9">
        <v>1.09883932042634</v>
      </c>
      <c r="F9">
        <v>1.18961591872533</v>
      </c>
      <c r="G9">
        <v>0</v>
      </c>
      <c r="H9">
        <v>1.19752462743117</v>
      </c>
      <c r="I9">
        <v>0</v>
      </c>
      <c r="J9">
        <v>0</v>
      </c>
      <c r="K9">
        <v>0.449078364625057</v>
      </c>
      <c r="L9">
        <v>0</v>
      </c>
      <c r="M9">
        <v>0</v>
      </c>
      <c r="N9">
        <v>7.95720363332013</v>
      </c>
      <c r="P9">
        <v>1.5</v>
      </c>
    </row>
    <row r="10" ht="27" customHeight="1" spans="1:16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1.11118182187386</v>
      </c>
      <c r="N10">
        <v>1.11118182187386</v>
      </c>
      <c r="P10">
        <v>2</v>
      </c>
    </row>
    <row r="11" ht="27" customHeight="1" spans="1:14">
      <c r="A11" t="s">
        <v>15</v>
      </c>
      <c r="B11">
        <v>0.440678316189532</v>
      </c>
      <c r="C11">
        <v>0</v>
      </c>
      <c r="D11">
        <v>0.684523265380748</v>
      </c>
      <c r="E11">
        <v>0.289356380830804</v>
      </c>
      <c r="F11">
        <v>0.756947659707342</v>
      </c>
      <c r="G11">
        <v>0</v>
      </c>
      <c r="H11">
        <v>0.0960518929707478</v>
      </c>
      <c r="I11">
        <v>0.479936079545454</v>
      </c>
      <c r="J11">
        <v>0.454382553273806</v>
      </c>
      <c r="K11">
        <v>0.793626210254749</v>
      </c>
      <c r="L11">
        <v>0</v>
      </c>
      <c r="M11">
        <v>0.600123828055899</v>
      </c>
      <c r="N11">
        <v>4.59562618620908</v>
      </c>
    </row>
    <row r="12" ht="27" customHeight="1" spans="1:14">
      <c r="A12" t="s">
        <v>14</v>
      </c>
      <c r="B12">
        <v>0.743394969182076</v>
      </c>
      <c r="C12">
        <v>0</v>
      </c>
      <c r="D12">
        <v>0</v>
      </c>
      <c r="E12">
        <v>0.966102605425732</v>
      </c>
      <c r="F12">
        <v>0</v>
      </c>
      <c r="G12">
        <v>0</v>
      </c>
      <c r="H12">
        <v>0</v>
      </c>
      <c r="I12">
        <v>0.372528562632551</v>
      </c>
      <c r="J12">
        <v>0.765470380389609</v>
      </c>
      <c r="K12">
        <v>1.04724130892381</v>
      </c>
      <c r="L12">
        <v>0.836237062138569</v>
      </c>
      <c r="M12">
        <v>0.361136971145256</v>
      </c>
      <c r="N12">
        <v>5.0921118598376</v>
      </c>
    </row>
    <row r="13" ht="27" customHeight="1" spans="1:14">
      <c r="A13" t="s">
        <v>13</v>
      </c>
      <c r="B13">
        <v>0.427332236505259</v>
      </c>
      <c r="C13">
        <v>0.234734472191868</v>
      </c>
      <c r="D13">
        <v>0.939219471833414</v>
      </c>
      <c r="E13">
        <v>1.06583461537496</v>
      </c>
      <c r="F13">
        <v>0.237406441846775</v>
      </c>
      <c r="G13">
        <v>0.766422495274102</v>
      </c>
      <c r="H13">
        <v>0.619088098036307</v>
      </c>
      <c r="I13">
        <v>0.541262577883539</v>
      </c>
      <c r="J13">
        <v>0.294720051888979</v>
      </c>
      <c r="K13">
        <v>0.841798292237774</v>
      </c>
      <c r="L13">
        <v>0.17861854419187</v>
      </c>
      <c r="M13">
        <v>0.791061481597168</v>
      </c>
      <c r="N13">
        <v>6.93749877886202</v>
      </c>
    </row>
    <row r="14" ht="27" customHeight="1" spans="1:14">
      <c r="A14" t="s">
        <v>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6" ht="31.5" spans="1:1">
      <c r="A16" s="12" t="s">
        <v>35</v>
      </c>
    </row>
    <row r="18" spans="1:16">
      <c r="A18" s="13" t="s">
        <v>1</v>
      </c>
      <c r="B18" s="13" t="s">
        <v>5</v>
      </c>
      <c r="C18" s="13" t="s">
        <v>17</v>
      </c>
      <c r="D18" s="13" t="s">
        <v>18</v>
      </c>
      <c r="E18" s="13" t="s">
        <v>19</v>
      </c>
      <c r="F18" s="13" t="s">
        <v>20</v>
      </c>
      <c r="G18" s="13" t="s">
        <v>21</v>
      </c>
      <c r="H18" s="13" t="s">
        <v>22</v>
      </c>
      <c r="I18" s="13" t="s">
        <v>23</v>
      </c>
      <c r="J18" s="13" t="s">
        <v>24</v>
      </c>
      <c r="K18" s="13" t="s">
        <v>25</v>
      </c>
      <c r="L18" s="13" t="s">
        <v>26</v>
      </c>
      <c r="M18" s="13" t="s">
        <v>27</v>
      </c>
      <c r="N18" s="13"/>
      <c r="P18" t="s">
        <v>34</v>
      </c>
    </row>
    <row r="19" ht="22" customHeight="1" spans="1:16">
      <c r="A19" t="s">
        <v>6</v>
      </c>
      <c r="B19">
        <v>0</v>
      </c>
      <c r="C19">
        <v>0.197204193709436</v>
      </c>
      <c r="D19">
        <v>1.49111310704961</v>
      </c>
      <c r="E19">
        <v>0.110203410274686</v>
      </c>
      <c r="F19">
        <v>0.0189886095234024</v>
      </c>
      <c r="G19">
        <v>0.0569625712446836</v>
      </c>
      <c r="H19">
        <v>0</v>
      </c>
      <c r="I19">
        <v>0</v>
      </c>
      <c r="J19">
        <v>0</v>
      </c>
      <c r="K19">
        <v>0.0722563594317806</v>
      </c>
      <c r="L19">
        <v>0</v>
      </c>
      <c r="M19">
        <v>0.484858555227849</v>
      </c>
      <c r="N19">
        <v>0.202632233871787</v>
      </c>
      <c r="P19">
        <v>0</v>
      </c>
    </row>
    <row r="20" ht="22" customHeight="1" spans="1:16">
      <c r="A20" t="s">
        <v>12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0.5</v>
      </c>
    </row>
    <row r="21" ht="23" customHeight="1" spans="1:16">
      <c r="A21" t="s">
        <v>10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0.87405466796662</v>
      </c>
      <c r="N21">
        <v>0.0728378889972183</v>
      </c>
      <c r="P21">
        <v>1</v>
      </c>
    </row>
    <row r="22" ht="25" customHeight="1" spans="1:16">
      <c r="A22" t="s">
        <v>16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1.5</v>
      </c>
    </row>
    <row r="23" ht="27" customHeight="1" spans="1:16">
      <c r="A23" t="s">
        <v>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2</v>
      </c>
    </row>
    <row r="24" ht="24" customHeight="1" spans="1:14">
      <c r="A24" t="s">
        <v>15</v>
      </c>
      <c r="B24">
        <v>0</v>
      </c>
      <c r="C24">
        <v>0</v>
      </c>
      <c r="D24">
        <v>0</v>
      </c>
      <c r="E24">
        <v>0.720634920634921</v>
      </c>
      <c r="F24">
        <v>0</v>
      </c>
      <c r="G24">
        <v>0.160525355709595</v>
      </c>
      <c r="H24">
        <v>0.505785983617215</v>
      </c>
      <c r="I24">
        <v>0</v>
      </c>
      <c r="J24">
        <v>0</v>
      </c>
      <c r="K24">
        <v>0.594140752864157</v>
      </c>
      <c r="L24">
        <v>0.175585046914848</v>
      </c>
      <c r="M24">
        <v>0</v>
      </c>
      <c r="N24">
        <v>0.179722671645061</v>
      </c>
    </row>
    <row r="25" ht="22" customHeight="1" spans="1:14">
      <c r="A25" t="s">
        <v>14</v>
      </c>
      <c r="B25">
        <v>0</v>
      </c>
      <c r="C25">
        <v>0</v>
      </c>
      <c r="D25">
        <v>1.15052083333333</v>
      </c>
      <c r="E25">
        <v>0</v>
      </c>
      <c r="F25">
        <v>0</v>
      </c>
      <c r="G25">
        <v>0</v>
      </c>
      <c r="H25">
        <v>0.516279144175332</v>
      </c>
      <c r="I25">
        <v>1.55306516253525</v>
      </c>
      <c r="J25">
        <v>0</v>
      </c>
      <c r="K25">
        <v>0</v>
      </c>
      <c r="L25">
        <v>0</v>
      </c>
      <c r="M25">
        <v>0.626408499287127</v>
      </c>
      <c r="N25">
        <v>0.320522803277587</v>
      </c>
    </row>
    <row r="26" ht="30" customHeight="1" spans="1:14">
      <c r="A26" t="s">
        <v>13</v>
      </c>
      <c r="B26">
        <v>0.710254868402794</v>
      </c>
      <c r="C26">
        <v>0.215675504769553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0.00456950405299016</v>
      </c>
      <c r="K26">
        <v>0</v>
      </c>
      <c r="L26">
        <v>0.003</v>
      </c>
      <c r="M26">
        <v>0</v>
      </c>
      <c r="N26">
        <v>0.0777916564354448</v>
      </c>
    </row>
    <row r="27" ht="32" customHeight="1" spans="1:14">
      <c r="A27" t="s">
        <v>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</sheetData>
  <conditionalFormatting sqref="P5:P10">
    <cfRule type="colorScale" priority="9">
      <colorScale>
        <cfvo type="min"/>
        <cfvo type="max"/>
        <color rgb="FF63BE7B"/>
        <color rgb="FFFCFCFF"/>
      </colorScale>
    </cfRule>
  </conditionalFormatting>
  <conditionalFormatting sqref="P6:P10">
    <cfRule type="colorScale" priority="7">
      <colorScale>
        <cfvo type="min"/>
        <cfvo type="max"/>
        <color rgb="FFFCFCFF"/>
        <color rgb="FF63BE7B"/>
      </colorScale>
    </cfRule>
  </conditionalFormatting>
  <conditionalFormatting sqref="P18:P23">
    <cfRule type="colorScale" priority="2">
      <colorScale>
        <cfvo type="min"/>
        <cfvo type="max"/>
        <color rgb="FF63BE7B"/>
        <color rgb="FFFCFCFF"/>
      </colorScale>
    </cfRule>
  </conditionalFormatting>
  <conditionalFormatting sqref="P19:P23">
    <cfRule type="colorScale" priority="1">
      <colorScale>
        <cfvo type="min"/>
        <cfvo type="max"/>
        <color rgb="FFFCFCFF"/>
        <color rgb="FF63BE7B"/>
      </colorScale>
    </cfRule>
  </conditionalFormatting>
  <conditionalFormatting sqref="B6:N14">
    <cfRule type="colorScale" priority="6">
      <colorScale>
        <cfvo type="num" val="0"/>
        <cfvo type="num" val="2"/>
        <color rgb="FFFCFCFF"/>
        <color rgb="FF63BE7B"/>
      </colorScale>
    </cfRule>
  </conditionalFormatting>
  <conditionalFormatting sqref="B19:N27">
    <cfRule type="colorScale" priority="3">
      <colorScale>
        <cfvo type="num" val="0"/>
        <cfvo type="num" val="2"/>
        <color rgb="FFFCFCFF"/>
        <color rgb="FF63BE7B"/>
      </colorScale>
    </cfRule>
  </conditionalFormatting>
  <pageMargins left="0.75" right="0.75" top="1" bottom="1" header="0.5" footer="0.5"/>
  <headerFooter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20"/>
  <sheetViews>
    <sheetView showGridLines="0" workbookViewId="0">
      <selection activeCell="E15" sqref="E15"/>
    </sheetView>
  </sheetViews>
  <sheetFormatPr defaultColWidth="9.14285714285714" defaultRowHeight="15" outlineLevelCol="6"/>
  <cols>
    <col min="1" max="1" width="32.2857142857143"/>
    <col min="2" max="2" width="27.8571428571429" customWidth="1"/>
    <col min="3" max="3" width="21.5714285714286" customWidth="1"/>
    <col min="5" max="5" width="22.4285714285714" customWidth="1"/>
    <col min="6" max="6" width="22.5714285714286" customWidth="1"/>
    <col min="7" max="7" width="20.8571428571429" customWidth="1"/>
  </cols>
  <sheetData>
    <row r="3" spans="1:7">
      <c r="A3" s="1"/>
      <c r="B3" s="2"/>
      <c r="C3" s="3"/>
      <c r="E3" t="s">
        <v>36</v>
      </c>
      <c r="F3" t="s">
        <v>37</v>
      </c>
      <c r="G3" t="s">
        <v>38</v>
      </c>
    </row>
    <row r="4" spans="1:7">
      <c r="A4" s="4"/>
      <c r="B4" s="5"/>
      <c r="C4" s="6"/>
      <c r="E4" s="7">
        <v>0.306907725999204</v>
      </c>
      <c r="F4" s="7">
        <v>0.0927203305135865</v>
      </c>
      <c r="G4" s="7">
        <f>1-E4-F4</f>
        <v>0.600371943487209</v>
      </c>
    </row>
    <row r="5" spans="1:3">
      <c r="A5" s="4"/>
      <c r="B5" s="5"/>
      <c r="C5" s="6"/>
    </row>
    <row r="6" spans="1:3">
      <c r="A6" s="4"/>
      <c r="B6" s="5"/>
      <c r="C6" s="6"/>
    </row>
    <row r="7" spans="1:3">
      <c r="A7" s="4"/>
      <c r="B7" s="5"/>
      <c r="C7" s="6"/>
    </row>
    <row r="8" spans="1:3">
      <c r="A8" s="4"/>
      <c r="B8" s="5"/>
      <c r="C8" s="6"/>
    </row>
    <row r="9" spans="1:3">
      <c r="A9" s="4"/>
      <c r="B9" s="5"/>
      <c r="C9" s="6"/>
    </row>
    <row r="10" spans="1:3">
      <c r="A10" s="4"/>
      <c r="B10" s="5"/>
      <c r="C10" s="6"/>
    </row>
    <row r="11" spans="1:3">
      <c r="A11" s="4"/>
      <c r="B11" s="5"/>
      <c r="C11" s="6"/>
    </row>
    <row r="12" spans="1:3">
      <c r="A12" s="4"/>
      <c r="B12" s="5"/>
      <c r="C12" s="6"/>
    </row>
    <row r="13" spans="1:3">
      <c r="A13" s="4"/>
      <c r="B13" s="5"/>
      <c r="C13" s="6"/>
    </row>
    <row r="14" spans="1:3">
      <c r="A14" s="4"/>
      <c r="B14" s="5"/>
      <c r="C14" s="6"/>
    </row>
    <row r="15" spans="1:3">
      <c r="A15" s="4"/>
      <c r="B15" s="5"/>
      <c r="C15" s="6"/>
    </row>
    <row r="16" spans="1:3">
      <c r="A16" s="4"/>
      <c r="B16" s="5"/>
      <c r="C16" s="6"/>
    </row>
    <row r="17" spans="1:3">
      <c r="A17" s="4"/>
      <c r="B17" s="5"/>
      <c r="C17" s="6"/>
    </row>
    <row r="18" spans="1:3">
      <c r="A18" s="4"/>
      <c r="B18" s="5"/>
      <c r="C18" s="6"/>
    </row>
    <row r="19" spans="1:3">
      <c r="A19" s="4"/>
      <c r="B19" s="5"/>
      <c r="C19" s="6"/>
    </row>
    <row r="20" spans="1:3">
      <c r="A20" s="8"/>
      <c r="B20" s="9"/>
      <c r="C20" s="10"/>
    </row>
  </sheetData>
  <pageMargins left="0.75" right="0.75" top="1" bottom="1" header="0.5" footer="0.5"/>
  <headerFooter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Dynamics department</vt:lpstr>
      <vt:lpstr>Heatmap</vt:lpstr>
      <vt:lpstr>Sum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Диана</cp:lastModifiedBy>
  <dcterms:created xsi:type="dcterms:W3CDTF">2025-11-10T13:11:00Z</dcterms:created>
  <dcterms:modified xsi:type="dcterms:W3CDTF">2025-11-11T06:12:20Z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2FFFD0D759B04FBEA6F02F2D950E6653_12</vt:lpwstr>
  </property>
  <property fmtid="{D5CDD505-2E9C-101B-9397-08002B2CF9AE}" pid="3" name="KSOProductBuildVer">
    <vt:lpwstr>1049-12.2.0.23155</vt:lpwstr>
  </property>
</Properties>
</file>